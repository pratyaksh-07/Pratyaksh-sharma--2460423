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OneDrive\Documents\L&amp;T\"/>
    </mc:Choice>
  </mc:AlternateContent>
  <xr:revisionPtr revIDLastSave="0" documentId="13_ncr:1_{434B6C86-8872-4CC7-80E6-70F0878E17A3}" xr6:coauthVersionLast="47" xr6:coauthVersionMax="47" xr10:uidLastSave="{00000000-0000-0000-0000-000000000000}"/>
  <bookViews>
    <workbookView xWindow="-110" yWindow="-110" windowWidth="19420" windowHeight="12220" firstSheet="4" activeTab="8" xr2:uid="{066EEF34-3AB4-4F9D-AE68-8D424FE4DE5B}"/>
  </bookViews>
  <sheets>
    <sheet name="AVG TACKLES" sheetId="11" r:id="rId1"/>
    <sheet name="Sheet3" sheetId="12" r:id="rId2"/>
    <sheet name="Sheet2" sheetId="14" r:id="rId3"/>
    <sheet name="Sheet4" sheetId="15" r:id="rId4"/>
    <sheet name="DATASET" sheetId="2" r:id="rId5"/>
    <sheet name="GOALS" sheetId="8" r:id="rId6"/>
    <sheet name="FORMULAS" sheetId="6" r:id="rId7"/>
    <sheet name="SORTING &amp; FILTERING" sheetId="7" r:id="rId8"/>
    <sheet name="DASHBOARD" sheetId="3" r:id="rId9"/>
  </sheets>
  <definedNames>
    <definedName name="_xlnm._FilterDatabase" localSheetId="7" hidden="1">'SORTING &amp; FILTERING'!$A$2:$L$2</definedName>
    <definedName name="Slicer_Position">#N/A</definedName>
  </definedNames>
  <calcPr calcId="191029"/>
  <pivotCaches>
    <pivotCache cacheId="1" r:id="rId10"/>
    <pivotCache cacheId="1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a="1"/>
  <c r="F2" i="6" s="1"/>
  <c r="E2" i="6" a="1"/>
  <c r="E2" i="6" s="1"/>
  <c r="D2" i="6"/>
  <c r="C2" i="6"/>
  <c r="B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<sst xmlns="http://schemas.openxmlformats.org/spreadsheetml/2006/main" count="279" uniqueCount="74">
  <si>
    <t>Excel Sample Data</t>
  </si>
  <si>
    <t>2022 FIFA World Cup Performance Data - Argentina</t>
  </si>
  <si>
    <t xml:space="preserve">Player Name </t>
  </si>
  <si>
    <t>Position</t>
  </si>
  <si>
    <t>Jersey Number</t>
  </si>
  <si>
    <t>Player DOB</t>
  </si>
  <si>
    <t xml:space="preserve">Club </t>
  </si>
  <si>
    <t xml:space="preserve"> Appearances</t>
  </si>
  <si>
    <t xml:space="preserve">Goals Scored </t>
  </si>
  <si>
    <t xml:space="preserve">Assists Provided </t>
  </si>
  <si>
    <t>Dribbles per 90 Min</t>
  </si>
  <si>
    <t>Interceptions per 90 Min</t>
  </si>
  <si>
    <t>Tackles per 90 Min</t>
  </si>
  <si>
    <t>Total Duels Won per 90 Min</t>
  </si>
  <si>
    <t>Nicolas Otamendi</t>
  </si>
  <si>
    <t>DF</t>
  </si>
  <si>
    <t>Benfica</t>
  </si>
  <si>
    <t>Marcos Acuna</t>
  </si>
  <si>
    <t>Sevilla</t>
  </si>
  <si>
    <t>Nicolas Tagliafico</t>
  </si>
  <si>
    <t>Lyon</t>
  </si>
  <si>
    <t>German Pezzella</t>
  </si>
  <si>
    <t>Real Betis</t>
  </si>
  <si>
    <t>Nahuel Molina</t>
  </si>
  <si>
    <t>Atletico Madrid</t>
  </si>
  <si>
    <t>Gonzalo Montiel</t>
  </si>
  <si>
    <t>Juan Foyth</t>
  </si>
  <si>
    <t>Villarreal</t>
  </si>
  <si>
    <t>Cristian Romero</t>
  </si>
  <si>
    <t>Tottenham</t>
  </si>
  <si>
    <t>Lisandro Martinez</t>
  </si>
  <si>
    <t>Manchester United</t>
  </si>
  <si>
    <t>Leandro Paredes</t>
  </si>
  <si>
    <t>MF</t>
  </si>
  <si>
    <t>Juventus</t>
  </si>
  <si>
    <t>Rodrigo De Paul</t>
  </si>
  <si>
    <t>Guido Rodriguez</t>
  </si>
  <si>
    <t>Exequiel Palacios</t>
  </si>
  <si>
    <t>Bayer Leverkusen</t>
  </si>
  <si>
    <t>Alexis Mac Allister</t>
  </si>
  <si>
    <t>Brighton</t>
  </si>
  <si>
    <t>Enzo Fernandez</t>
  </si>
  <si>
    <t>Alejandro Gomez</t>
  </si>
  <si>
    <t>Atlanta United</t>
  </si>
  <si>
    <t>Lionel Messi</t>
  </si>
  <si>
    <t>FW</t>
  </si>
  <si>
    <t>PSG</t>
  </si>
  <si>
    <t>Lautaro Martinez</t>
  </si>
  <si>
    <t>Inter</t>
  </si>
  <si>
    <t>Paulo Dybala</t>
  </si>
  <si>
    <t>Roma</t>
  </si>
  <si>
    <t>Thiago Almada</t>
  </si>
  <si>
    <t>Julian Alvarez</t>
  </si>
  <si>
    <t>Manchester City</t>
  </si>
  <si>
    <t>Angel Di Maria</t>
  </si>
  <si>
    <t>Angel Correa</t>
  </si>
  <si>
    <t>Emiliano Martinez</t>
  </si>
  <si>
    <t>GK</t>
  </si>
  <si>
    <t>Aston Villa</t>
  </si>
  <si>
    <t>Franco Armani</t>
  </si>
  <si>
    <t>River</t>
  </si>
  <si>
    <t>Geronimo Rulli</t>
  </si>
  <si>
    <t>IF (Tackles)</t>
  </si>
  <si>
    <t>Median (MF)</t>
  </si>
  <si>
    <t>Count (Goal Scored)</t>
  </si>
  <si>
    <t>Average (Tackles per 90 mins)</t>
  </si>
  <si>
    <t>Sum (Dribbles per 90 min)</t>
  </si>
  <si>
    <t xml:space="preserve">Sorted &amp; Filtered dataset </t>
  </si>
  <si>
    <t>FIFA WORLD CUP DASHBOARD</t>
  </si>
  <si>
    <t>Row Labels</t>
  </si>
  <si>
    <t>Grand Total</t>
  </si>
  <si>
    <t xml:space="preserve">Sum of Goals Scored </t>
  </si>
  <si>
    <t>Sum of Tackles per 90 Min</t>
  </si>
  <si>
    <t xml:space="preserve">Count of Player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</si>
</sst>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rgb="FF272760"/>
      <name val="Calibri"/>
      <family val="2"/>
    </font>
    <font>
      <sz val="11"/>
      <color theme="1"/>
      <name val="Calibri"/>
      <family val="2"/>
    </font>
    <font>
      <b/>
      <sz val="12"/>
      <color rgb="FFFFFFFF"/>
      <name val="Calibri"/>
      <family val="2"/>
    </font>
    <font>
      <sz val="11"/>
      <color rgb="FF000000"/>
      <name val="Calibri"/>
      <family val="2"/>
    </font>
    <font>
      <b/>
      <i/>
      <sz val="18"/>
      <color theme="2"/>
      <name val="Aptos Narrow"/>
      <family val="2"/>
      <scheme val="minor"/>
    </font>
    <font>
      <b/>
      <i/>
      <sz val="14"/>
      <color theme="2"/>
      <name val="Aptos Narrow"/>
      <family val="2"/>
      <scheme val="minor"/>
    </font>
    <font>
      <b/>
      <sz val="20"/>
      <color rgb="FFFFFF00"/>
      <name val="Eras Demi ITC"/>
      <family val="2"/>
    </font>
  </fonts>
  <fills count="6">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8" tint="-0.249977111117893"/>
        <bgColor indexed="64"/>
      </patternFill>
    </fill>
    <fill>
      <patternFill patternType="solid">
        <fgColor theme="3" tint="9.9978637043366805E-2"/>
        <bgColor indexed="64"/>
      </patternFill>
    </fill>
  </fills>
  <borders count="1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0" borderId="2" xfId="0" applyFont="1" applyBorder="1" applyAlignment="1">
      <alignment vertical="center"/>
    </xf>
    <xf numFmtId="14" fontId="4" fillId="0" borderId="2" xfId="0" applyNumberFormat="1" applyFont="1" applyBorder="1" applyAlignment="1">
      <alignment vertical="center"/>
    </xf>
    <xf numFmtId="0" fontId="0" fillId="0" borderId="0" xfId="0"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6" fillId="4" borderId="0" xfId="0" applyFont="1" applyFill="1"/>
    <xf numFmtId="0" fontId="0" fillId="0" borderId="0" xfId="0" pivotButton="1"/>
    <xf numFmtId="0" fontId="0" fillId="0" borderId="0" xfId="0" applyAlignment="1">
      <alignment horizontal="left"/>
    </xf>
    <xf numFmtId="0" fontId="5" fillId="4" borderId="3" xfId="0" applyFont="1" applyFill="1" applyBorder="1" applyAlignment="1">
      <alignment horizontal="center"/>
    </xf>
    <xf numFmtId="0" fontId="7" fillId="5" borderId="0" xfId="0" applyFont="1" applyFill="1" applyAlignment="1">
      <alignment horizontal="center"/>
    </xf>
    <xf numFmtId="0" fontId="0" fillId="0" borderId="0" xfId="0" applyNumberFormat="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4F0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[2460423_pratyakshsharma.xlsx]Sheet2!PivotTable2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Sheet2!$A$4:$A$8</c:f>
              <c:strCache>
                <c:ptCount val="4"/>
                <c:pt idx="0">
                  <c:v>DF</c:v>
                </c:pt>
                <c:pt idx="1">
                  <c:v>FW</c:v>
                </c:pt>
                <c:pt idx="2">
                  <c:v>GK</c:v>
                </c:pt>
                <c:pt idx="3">
                  <c:v>MF</c:v>
                </c:pt>
              </c:strCache>
            </c:strRef>
          </c:cat>
          <c:val>
            <c:numRef>
              <c:f>Sheet2!$B$4:$B$8</c:f>
              <c:numCache>
                <c:formatCode>General</c:formatCode>
                <c:ptCount val="4"/>
                <c:pt idx="0">
                  <c:v>9</c:v>
                </c:pt>
                <c:pt idx="1">
                  <c:v>7</c:v>
                </c:pt>
                <c:pt idx="2">
                  <c:v>3</c:v>
                </c:pt>
                <c:pt idx="3">
                  <c:v>7</c:v>
                </c:pt>
              </c:numCache>
            </c:numRef>
          </c:val>
          <c:extLst>
            <c:ext xmlns:c16="http://schemas.microsoft.com/office/drawing/2014/chart" uri="{C3380CC4-5D6E-409C-BE32-E72D297353CC}">
              <c16:uniqueId val="{00000000-8B34-484D-9B96-1BEC514960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[2460423_pratyakshsharma.xlsx]Sheet4!PivotTable3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Sheet4!$A$4:$A$30</c:f>
              <c:strCache>
                <c:ptCount val="26"/>
                <c:pt idx="0">
                  <c:v>Alejandro Gomez</c:v>
                </c:pt>
                <c:pt idx="1">
                  <c:v>Alexis Mac Allister</c:v>
                </c:pt>
                <c:pt idx="2">
                  <c:v>Angel Correa</c:v>
                </c:pt>
                <c:pt idx="3">
                  <c:v>Angel Di Maria</c:v>
                </c:pt>
                <c:pt idx="4">
                  <c:v>Cristian Romero</c:v>
                </c:pt>
                <c:pt idx="5">
                  <c:v>Emiliano Martinez</c:v>
                </c:pt>
                <c:pt idx="6">
                  <c:v>Enzo Fernandez</c:v>
                </c:pt>
                <c:pt idx="7">
                  <c:v>Exequiel Palacios</c:v>
                </c:pt>
                <c:pt idx="8">
                  <c:v>Franco Armani</c:v>
                </c:pt>
                <c:pt idx="9">
                  <c:v>German Pezzella</c:v>
                </c:pt>
                <c:pt idx="10">
                  <c:v>Geronimo Rulli</c:v>
                </c:pt>
                <c:pt idx="11">
                  <c:v>Gonzalo Montiel</c:v>
                </c:pt>
                <c:pt idx="12">
                  <c:v>Guido Rodriguez</c:v>
                </c:pt>
                <c:pt idx="13">
                  <c:v>Juan Foyth</c:v>
                </c:pt>
                <c:pt idx="14">
                  <c:v>Julian Alvarez</c:v>
                </c:pt>
                <c:pt idx="15">
                  <c:v>Lautaro Martinez</c:v>
                </c:pt>
                <c:pt idx="16">
                  <c:v>Leandro Paredes</c:v>
                </c:pt>
                <c:pt idx="17">
                  <c:v>Lionel Messi</c:v>
                </c:pt>
                <c:pt idx="18">
                  <c:v>Lisandro Martinez</c:v>
                </c:pt>
                <c:pt idx="19">
                  <c:v>Marcos Acuna</c:v>
                </c:pt>
                <c:pt idx="20">
                  <c:v>Nahuel Molina</c:v>
                </c:pt>
                <c:pt idx="21">
                  <c:v>Nicolas Otamendi</c:v>
                </c:pt>
                <c:pt idx="22">
                  <c:v>Nicolas Tagliafico</c:v>
                </c:pt>
                <c:pt idx="23">
                  <c:v>Paulo Dybala</c:v>
                </c:pt>
                <c:pt idx="24">
                  <c:v>Rodrigo De Paul</c:v>
                </c:pt>
                <c:pt idx="25">
                  <c:v>Thiago Almada</c:v>
                </c:pt>
              </c:strCache>
            </c:strRef>
          </c:cat>
          <c:val>
            <c:numRef>
              <c:f>Sheet4!$B$4:$B$30</c:f>
              <c:numCache>
                <c:formatCode>General</c:formatCode>
                <c:ptCount val="26"/>
                <c:pt idx="0">
                  <c:v>1.65</c:v>
                </c:pt>
                <c:pt idx="1">
                  <c:v>1.46</c:v>
                </c:pt>
                <c:pt idx="2">
                  <c:v>0</c:v>
                </c:pt>
                <c:pt idx="3">
                  <c:v>0.93</c:v>
                </c:pt>
                <c:pt idx="4">
                  <c:v>0.82</c:v>
                </c:pt>
                <c:pt idx="5">
                  <c:v>0</c:v>
                </c:pt>
                <c:pt idx="6">
                  <c:v>3.52</c:v>
                </c:pt>
                <c:pt idx="7">
                  <c:v>1.91</c:v>
                </c:pt>
                <c:pt idx="8">
                  <c:v>0</c:v>
                </c:pt>
                <c:pt idx="9">
                  <c:v>0</c:v>
                </c:pt>
                <c:pt idx="10">
                  <c:v>0</c:v>
                </c:pt>
                <c:pt idx="11">
                  <c:v>2.31</c:v>
                </c:pt>
                <c:pt idx="12">
                  <c:v>3.16</c:v>
                </c:pt>
                <c:pt idx="13">
                  <c:v>0</c:v>
                </c:pt>
                <c:pt idx="14">
                  <c:v>0.77</c:v>
                </c:pt>
                <c:pt idx="15">
                  <c:v>0</c:v>
                </c:pt>
                <c:pt idx="16">
                  <c:v>4.0199999999999996</c:v>
                </c:pt>
                <c:pt idx="17">
                  <c:v>0.65</c:v>
                </c:pt>
                <c:pt idx="18">
                  <c:v>1.5</c:v>
                </c:pt>
                <c:pt idx="19">
                  <c:v>2.9</c:v>
                </c:pt>
                <c:pt idx="20">
                  <c:v>1.42</c:v>
                </c:pt>
                <c:pt idx="21">
                  <c:v>1.3</c:v>
                </c:pt>
                <c:pt idx="22">
                  <c:v>1.69</c:v>
                </c:pt>
                <c:pt idx="23">
                  <c:v>0</c:v>
                </c:pt>
                <c:pt idx="24">
                  <c:v>1.79</c:v>
                </c:pt>
                <c:pt idx="25">
                  <c:v>0</c:v>
                </c:pt>
              </c:numCache>
            </c:numRef>
          </c:val>
          <c:smooth val="0"/>
          <c:extLst>
            <c:ext xmlns:c16="http://schemas.microsoft.com/office/drawing/2014/chart" uri="{C3380CC4-5D6E-409C-BE32-E72D297353CC}">
              <c16:uniqueId val="{00000000-2C14-45C3-BC09-41A00D97E7C0}"/>
            </c:ext>
          </c:extLst>
        </c:ser>
        <c:dLbls>
          <c:showLegendKey val="0"/>
          <c:showVal val="0"/>
          <c:showCatName val="0"/>
          <c:showSerName val="0"/>
          <c:showPercent val="0"/>
          <c:showBubbleSize val="0"/>
        </c:dLbls>
        <c:smooth val="0"/>
        <c:axId val="540090928"/>
        <c:axId val="540091408"/>
      </c:lineChart>
      <c:catAx>
        <c:axId val="54009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1408"/>
        <c:crosses val="autoZero"/>
        <c:auto val="1"/>
        <c:lblAlgn val="ctr"/>
        <c:lblOffset val="100"/>
        <c:noMultiLvlLbl val="0"/>
      </c:catAx>
      <c:valAx>
        <c:axId val="5400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[2460423_pratyakshsharma.xlsx]GOALS!PivotTable1</c:name>
    <c:fmtId val="8"/>
  </c:pivotSource>
  <c:chart>
    <c:title>
      <c:tx>
        <c:rich>
          <a:bodyPr rot="0" spcFirstLastPara="1" vertOverflow="ellipsis" vert="horz" wrap="square" anchor="ctr" anchorCtr="1"/>
          <a:lstStyle/>
          <a:p>
            <a:pPr>
              <a:defRPr sz="1800" b="1" i="1" u="none" strike="noStrike" kern="1200" spc="0" baseline="0">
                <a:solidFill>
                  <a:schemeClr val="tx1"/>
                </a:solidFill>
                <a:latin typeface="+mn-lt"/>
                <a:ea typeface="+mn-ea"/>
                <a:cs typeface="+mn-cs"/>
              </a:defRPr>
            </a:pPr>
            <a:r>
              <a:rPr lang="en-US" sz="1800" b="1" i="1">
                <a:solidFill>
                  <a:schemeClr val="tx1"/>
                </a:solidFill>
              </a:rPr>
              <a:t>Goal</a:t>
            </a:r>
            <a:r>
              <a:rPr lang="en-US" sz="1800" b="1" i="1" baseline="0">
                <a:solidFill>
                  <a:schemeClr val="tx1"/>
                </a:solidFill>
              </a:rPr>
              <a:t> Scored By Position</a:t>
            </a:r>
            <a:endParaRPr lang="en-US" sz="1800" b="1" i="1">
              <a:solidFill>
                <a:schemeClr val="tx1"/>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GOALS!$B$3</c:f>
              <c:strCache>
                <c:ptCount val="1"/>
                <c:pt idx="0">
                  <c:v>Total</c:v>
                </c:pt>
              </c:strCache>
            </c:strRef>
          </c:tx>
          <c:spPr>
            <a:solidFill>
              <a:schemeClr val="tx2">
                <a:lumMod val="50000"/>
                <a:lumOff val="50000"/>
              </a:schemeClr>
            </a:solidFill>
            <a:ln>
              <a:noFill/>
            </a:ln>
            <a:effectLst/>
          </c:spPr>
          <c:invertIfNegative val="0"/>
          <c:cat>
            <c:strRef>
              <c:f>GOALS!$A$4:$A$7</c:f>
              <c:strCache>
                <c:ptCount val="4"/>
                <c:pt idx="0">
                  <c:v>DF</c:v>
                </c:pt>
                <c:pt idx="1">
                  <c:v>FW</c:v>
                </c:pt>
                <c:pt idx="2">
                  <c:v>GK</c:v>
                </c:pt>
                <c:pt idx="3">
                  <c:v>MF</c:v>
                </c:pt>
              </c:strCache>
            </c:strRef>
          </c:cat>
          <c:val>
            <c:numRef>
              <c:f>GOALS!$B$4:$B$7</c:f>
              <c:numCache>
                <c:formatCode>General</c:formatCode>
                <c:ptCount val="4"/>
                <c:pt idx="0">
                  <c:v>1</c:v>
                </c:pt>
                <c:pt idx="1">
                  <c:v>12</c:v>
                </c:pt>
                <c:pt idx="2">
                  <c:v>0</c:v>
                </c:pt>
                <c:pt idx="3">
                  <c:v>2</c:v>
                </c:pt>
              </c:numCache>
            </c:numRef>
          </c:val>
          <c:extLst>
            <c:ext xmlns:c16="http://schemas.microsoft.com/office/drawing/2014/chart" uri="{C3380CC4-5D6E-409C-BE32-E72D297353CC}">
              <c16:uniqueId val="{00000003-DD52-4FB2-8749-A0182B8CE914}"/>
            </c:ext>
          </c:extLst>
        </c:ser>
        <c:dLbls>
          <c:showLegendKey val="0"/>
          <c:showVal val="0"/>
          <c:showCatName val="0"/>
          <c:showSerName val="0"/>
          <c:showPercent val="0"/>
          <c:showBubbleSize val="0"/>
        </c:dLbls>
        <c:gapWidth val="182"/>
        <c:axId val="789147408"/>
        <c:axId val="789147888"/>
      </c:barChart>
      <c:catAx>
        <c:axId val="78914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47888"/>
        <c:crosses val="autoZero"/>
        <c:auto val="1"/>
        <c:lblAlgn val="ctr"/>
        <c:lblOffset val="100"/>
        <c:noMultiLvlLbl val="0"/>
      </c:catAx>
      <c:valAx>
        <c:axId val="78914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4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[2460423_pratyakshsharma.xlsx]GOALS!PivotTable1</c:name>
    <c:fmtId val="1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Avg</a:t>
            </a:r>
            <a:r>
              <a:rPr lang="en-US" sz="1600" b="1" baseline="0">
                <a:solidFill>
                  <a:schemeClr val="tx1"/>
                </a:solidFill>
              </a:rPr>
              <a:t> Tackles Per Club</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7706709971479E-2"/>
          <c:y val="0.21722549104438868"/>
          <c:w val="0.87892847882749492"/>
          <c:h val="0.65575105996365834"/>
        </c:manualLayout>
      </c:layout>
      <c:barChart>
        <c:barDir val="col"/>
        <c:grouping val="clustered"/>
        <c:varyColors val="0"/>
        <c:ser>
          <c:idx val="0"/>
          <c:order val="0"/>
          <c:tx>
            <c:strRef>
              <c:f>GOALS!$B$3</c:f>
              <c:strCache>
                <c:ptCount val="1"/>
                <c:pt idx="0">
                  <c:v>Total</c:v>
                </c:pt>
              </c:strCache>
            </c:strRef>
          </c:tx>
          <c:spPr>
            <a:solidFill>
              <a:srgbClr val="FFC000"/>
            </a:solidFill>
            <a:ln>
              <a:noFill/>
            </a:ln>
            <a:effectLst/>
          </c:spPr>
          <c:invertIfNegative val="0"/>
          <c:cat>
            <c:strRef>
              <c:f>GOALS!$A$4:$A$7</c:f>
              <c:strCache>
                <c:ptCount val="4"/>
                <c:pt idx="0">
                  <c:v>DF</c:v>
                </c:pt>
                <c:pt idx="1">
                  <c:v>FW</c:v>
                </c:pt>
                <c:pt idx="2">
                  <c:v>GK</c:v>
                </c:pt>
                <c:pt idx="3">
                  <c:v>MF</c:v>
                </c:pt>
              </c:strCache>
            </c:strRef>
          </c:cat>
          <c:val>
            <c:numRef>
              <c:f>GOALS!$B$4:$B$7</c:f>
              <c:numCache>
                <c:formatCode>General</c:formatCode>
                <c:ptCount val="4"/>
                <c:pt idx="0">
                  <c:v>1</c:v>
                </c:pt>
                <c:pt idx="1">
                  <c:v>12</c:v>
                </c:pt>
                <c:pt idx="2">
                  <c:v>0</c:v>
                </c:pt>
                <c:pt idx="3">
                  <c:v>2</c:v>
                </c:pt>
              </c:numCache>
            </c:numRef>
          </c:val>
          <c:extLst>
            <c:ext xmlns:c16="http://schemas.microsoft.com/office/drawing/2014/chart" uri="{C3380CC4-5D6E-409C-BE32-E72D297353CC}">
              <c16:uniqueId val="{00000001-68CF-4469-BD4F-A7655142A892}"/>
            </c:ext>
          </c:extLst>
        </c:ser>
        <c:dLbls>
          <c:showLegendKey val="0"/>
          <c:showVal val="0"/>
          <c:showCatName val="0"/>
          <c:showSerName val="0"/>
          <c:showPercent val="0"/>
          <c:showBubbleSize val="0"/>
        </c:dLbls>
        <c:gapWidth val="219"/>
        <c:overlap val="-27"/>
        <c:axId val="1211919520"/>
        <c:axId val="1211920000"/>
      </c:barChart>
      <c:catAx>
        <c:axId val="121191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20000"/>
        <c:crosses val="autoZero"/>
        <c:auto val="1"/>
        <c:lblAlgn val="ctr"/>
        <c:lblOffset val="100"/>
        <c:noMultiLvlLbl val="0"/>
      </c:catAx>
      <c:valAx>
        <c:axId val="121192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1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[2460423_pratyakshsharma.xlsx]Sheet4!PivotTable3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Sheet4!$A$4:$A$30</c:f>
              <c:strCache>
                <c:ptCount val="26"/>
                <c:pt idx="0">
                  <c:v>Alejandro Gomez</c:v>
                </c:pt>
                <c:pt idx="1">
                  <c:v>Alexis Mac Allister</c:v>
                </c:pt>
                <c:pt idx="2">
                  <c:v>Angel Correa</c:v>
                </c:pt>
                <c:pt idx="3">
                  <c:v>Angel Di Maria</c:v>
                </c:pt>
                <c:pt idx="4">
                  <c:v>Cristian Romero</c:v>
                </c:pt>
                <c:pt idx="5">
                  <c:v>Emiliano Martinez</c:v>
                </c:pt>
                <c:pt idx="6">
                  <c:v>Enzo Fernandez</c:v>
                </c:pt>
                <c:pt idx="7">
                  <c:v>Exequiel Palacios</c:v>
                </c:pt>
                <c:pt idx="8">
                  <c:v>Franco Armani</c:v>
                </c:pt>
                <c:pt idx="9">
                  <c:v>German Pezzella</c:v>
                </c:pt>
                <c:pt idx="10">
                  <c:v>Geronimo Rulli</c:v>
                </c:pt>
                <c:pt idx="11">
                  <c:v>Gonzalo Montiel</c:v>
                </c:pt>
                <c:pt idx="12">
                  <c:v>Guido Rodriguez</c:v>
                </c:pt>
                <c:pt idx="13">
                  <c:v>Juan Foyth</c:v>
                </c:pt>
                <c:pt idx="14">
                  <c:v>Julian Alvarez</c:v>
                </c:pt>
                <c:pt idx="15">
                  <c:v>Lautaro Martinez</c:v>
                </c:pt>
                <c:pt idx="16">
                  <c:v>Leandro Paredes</c:v>
                </c:pt>
                <c:pt idx="17">
                  <c:v>Lionel Messi</c:v>
                </c:pt>
                <c:pt idx="18">
                  <c:v>Lisandro Martinez</c:v>
                </c:pt>
                <c:pt idx="19">
                  <c:v>Marcos Acuna</c:v>
                </c:pt>
                <c:pt idx="20">
                  <c:v>Nahuel Molina</c:v>
                </c:pt>
                <c:pt idx="21">
                  <c:v>Nicolas Otamendi</c:v>
                </c:pt>
                <c:pt idx="22">
                  <c:v>Nicolas Tagliafico</c:v>
                </c:pt>
                <c:pt idx="23">
                  <c:v>Paulo Dybala</c:v>
                </c:pt>
                <c:pt idx="24">
                  <c:v>Rodrigo De Paul</c:v>
                </c:pt>
                <c:pt idx="25">
                  <c:v>Thiago Almada</c:v>
                </c:pt>
              </c:strCache>
            </c:strRef>
          </c:cat>
          <c:val>
            <c:numRef>
              <c:f>Sheet4!$B$4:$B$30</c:f>
              <c:numCache>
                <c:formatCode>General</c:formatCode>
                <c:ptCount val="26"/>
                <c:pt idx="0">
                  <c:v>1.65</c:v>
                </c:pt>
                <c:pt idx="1">
                  <c:v>1.46</c:v>
                </c:pt>
                <c:pt idx="2">
                  <c:v>0</c:v>
                </c:pt>
                <c:pt idx="3">
                  <c:v>0.93</c:v>
                </c:pt>
                <c:pt idx="4">
                  <c:v>0.82</c:v>
                </c:pt>
                <c:pt idx="5">
                  <c:v>0</c:v>
                </c:pt>
                <c:pt idx="6">
                  <c:v>3.52</c:v>
                </c:pt>
                <c:pt idx="7">
                  <c:v>1.91</c:v>
                </c:pt>
                <c:pt idx="8">
                  <c:v>0</c:v>
                </c:pt>
                <c:pt idx="9">
                  <c:v>0</c:v>
                </c:pt>
                <c:pt idx="10">
                  <c:v>0</c:v>
                </c:pt>
                <c:pt idx="11">
                  <c:v>2.31</c:v>
                </c:pt>
                <c:pt idx="12">
                  <c:v>3.16</c:v>
                </c:pt>
                <c:pt idx="13">
                  <c:v>0</c:v>
                </c:pt>
                <c:pt idx="14">
                  <c:v>0.77</c:v>
                </c:pt>
                <c:pt idx="15">
                  <c:v>0</c:v>
                </c:pt>
                <c:pt idx="16">
                  <c:v>4.0199999999999996</c:v>
                </c:pt>
                <c:pt idx="17">
                  <c:v>0.65</c:v>
                </c:pt>
                <c:pt idx="18">
                  <c:v>1.5</c:v>
                </c:pt>
                <c:pt idx="19">
                  <c:v>2.9</c:v>
                </c:pt>
                <c:pt idx="20">
                  <c:v>1.42</c:v>
                </c:pt>
                <c:pt idx="21">
                  <c:v>1.3</c:v>
                </c:pt>
                <c:pt idx="22">
                  <c:v>1.69</c:v>
                </c:pt>
                <c:pt idx="23">
                  <c:v>0</c:v>
                </c:pt>
                <c:pt idx="24">
                  <c:v>1.79</c:v>
                </c:pt>
                <c:pt idx="25">
                  <c:v>0</c:v>
                </c:pt>
              </c:numCache>
            </c:numRef>
          </c:val>
          <c:smooth val="0"/>
          <c:extLst>
            <c:ext xmlns:c16="http://schemas.microsoft.com/office/drawing/2014/chart" uri="{C3380CC4-5D6E-409C-BE32-E72D297353CC}">
              <c16:uniqueId val="{00000000-6492-4004-845B-C4124A9E24DB}"/>
            </c:ext>
          </c:extLst>
        </c:ser>
        <c:dLbls>
          <c:showLegendKey val="0"/>
          <c:showVal val="0"/>
          <c:showCatName val="0"/>
          <c:showSerName val="0"/>
          <c:showPercent val="0"/>
          <c:showBubbleSize val="0"/>
        </c:dLbls>
        <c:smooth val="0"/>
        <c:axId val="540090928"/>
        <c:axId val="540091408"/>
      </c:lineChart>
      <c:catAx>
        <c:axId val="54009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1408"/>
        <c:crosses val="autoZero"/>
        <c:auto val="1"/>
        <c:lblAlgn val="ctr"/>
        <c:lblOffset val="100"/>
        <c:noMultiLvlLbl val="0"/>
      </c:catAx>
      <c:valAx>
        <c:axId val="5400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9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[2460423_pratyakshsharma.xlsx]Sheet2!PivotTable2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7F-4C9F-B046-4CCE415D87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7F-4C9F-B046-4CCE415D87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7F-4C9F-B046-4CCE415D87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7F-4C9F-B046-4CCE415D870C}"/>
              </c:ext>
            </c:extLst>
          </c:dPt>
          <c:cat>
            <c:strRef>
              <c:f>Sheet2!$A$4:$A$8</c:f>
              <c:strCache>
                <c:ptCount val="4"/>
                <c:pt idx="0">
                  <c:v>DF</c:v>
                </c:pt>
                <c:pt idx="1">
                  <c:v>FW</c:v>
                </c:pt>
                <c:pt idx="2">
                  <c:v>GK</c:v>
                </c:pt>
                <c:pt idx="3">
                  <c:v>MF</c:v>
                </c:pt>
              </c:strCache>
            </c:strRef>
          </c:cat>
          <c:val>
            <c:numRef>
              <c:f>Sheet2!$B$4:$B$8</c:f>
              <c:numCache>
                <c:formatCode>General</c:formatCode>
                <c:ptCount val="4"/>
                <c:pt idx="0">
                  <c:v>9</c:v>
                </c:pt>
                <c:pt idx="1">
                  <c:v>7</c:v>
                </c:pt>
                <c:pt idx="2">
                  <c:v>3</c:v>
                </c:pt>
                <c:pt idx="3">
                  <c:v>7</c:v>
                </c:pt>
              </c:numCache>
            </c:numRef>
          </c:val>
          <c:extLst>
            <c:ext xmlns:c16="http://schemas.microsoft.com/office/drawing/2014/chart" uri="{C3380CC4-5D6E-409C-BE32-E72D297353CC}">
              <c16:uniqueId val="{00000008-337F-4C9F-B046-4CCE415D87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image" Target="../media/image13.png"/><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xdr:col>
      <xdr:colOff>1047750</xdr:colOff>
      <xdr:row>5</xdr:row>
      <xdr:rowOff>136525</xdr:rowOff>
    </xdr:from>
    <xdr:to>
      <xdr:col>9</xdr:col>
      <xdr:colOff>6350</xdr:colOff>
      <xdr:row>20</xdr:row>
      <xdr:rowOff>117475</xdr:rowOff>
    </xdr:to>
    <xdr:graphicFrame macro="">
      <xdr:nvGraphicFramePr>
        <xdr:cNvPr id="2" name="Chart 1">
          <a:extLst>
            <a:ext uri="{FF2B5EF4-FFF2-40B4-BE49-F238E27FC236}">
              <a16:creationId xmlns:a16="http://schemas.microsoft.com/office/drawing/2014/main" id="{D93AD6FE-17B4-6693-4A19-807F93283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838200</xdr:colOff>
      <xdr:row>5</xdr:row>
      <xdr:rowOff>136525</xdr:rowOff>
    </xdr:from>
    <xdr:to>
      <xdr:col>8</xdr:col>
      <xdr:colOff>177800</xdr:colOff>
      <xdr:row>20</xdr:row>
      <xdr:rowOff>117475</xdr:rowOff>
    </xdr:to>
    <xdr:graphicFrame macro="">
      <xdr:nvGraphicFramePr>
        <xdr:cNvPr id="2" name="Chart 1">
          <a:extLst>
            <a:ext uri="{FF2B5EF4-FFF2-40B4-BE49-F238E27FC236}">
              <a16:creationId xmlns:a16="http://schemas.microsoft.com/office/drawing/2014/main" id="{E9480A6E-73FA-61D3-54B9-D550FCD49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31750</xdr:colOff>
      <xdr:row>0</xdr:row>
      <xdr:rowOff>6350</xdr:rowOff>
    </xdr:from>
    <xdr:to>
      <xdr:col>18</xdr:col>
      <xdr:colOff>412750</xdr:colOff>
      <xdr:row>2</xdr:row>
      <xdr:rowOff>19050</xdr:rowOff>
    </xdr:to>
    <xdr:pic>
      <xdr:nvPicPr>
        <xdr:cNvPr id="3" name="Graphic 2" descr="Trophy with solid fill">
          <a:extLst>
            <a:ext uri="{FF2B5EF4-FFF2-40B4-BE49-F238E27FC236}">
              <a16:creationId xmlns:a16="http://schemas.microsoft.com/office/drawing/2014/main" id="{F9F17260-10D1-D6A4-7A45-ED26B2D597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04550" y="6350"/>
          <a:ext cx="381000" cy="381000"/>
        </a:xfrm>
        <a:prstGeom prst="rect">
          <a:avLst/>
        </a:prstGeom>
      </xdr:spPr>
    </xdr:pic>
    <xdr:clientData/>
  </xdr:twoCellAnchor>
  <xdr:twoCellAnchor editAs="oneCell">
    <xdr:from>
      <xdr:col>2</xdr:col>
      <xdr:colOff>0</xdr:colOff>
      <xdr:row>9</xdr:row>
      <xdr:rowOff>0</xdr:rowOff>
    </xdr:from>
    <xdr:to>
      <xdr:col>2</xdr:col>
      <xdr:colOff>304800</xdr:colOff>
      <xdr:row>10</xdr:row>
      <xdr:rowOff>120650</xdr:rowOff>
    </xdr:to>
    <xdr:sp macro="" textlink="">
      <xdr:nvSpPr>
        <xdr:cNvPr id="3073" name="AutoShape 1" descr="FIFA Council - Wikipedia">
          <a:extLst>
            <a:ext uri="{FF2B5EF4-FFF2-40B4-BE49-F238E27FC236}">
              <a16:creationId xmlns:a16="http://schemas.microsoft.com/office/drawing/2014/main" id="{F5B88D94-4B8D-5048-4560-A0BA9DD91661}"/>
            </a:ext>
          </a:extLst>
        </xdr:cNvPr>
        <xdr:cNvSpPr>
          <a:spLocks noChangeAspect="1" noChangeArrowheads="1"/>
        </xdr:cNvSpPr>
      </xdr:nvSpPr>
      <xdr:spPr bwMode="auto">
        <a:xfrm>
          <a:off x="121920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xdr:row>
      <xdr:rowOff>0</xdr:rowOff>
    </xdr:from>
    <xdr:to>
      <xdr:col>4</xdr:col>
      <xdr:colOff>304800</xdr:colOff>
      <xdr:row>10</xdr:row>
      <xdr:rowOff>120650</xdr:rowOff>
    </xdr:to>
    <xdr:sp macro="" textlink="">
      <xdr:nvSpPr>
        <xdr:cNvPr id="3074" name="AutoShape 2" descr="FIFA Council - Wikipedia">
          <a:extLst>
            <a:ext uri="{FF2B5EF4-FFF2-40B4-BE49-F238E27FC236}">
              <a16:creationId xmlns:a16="http://schemas.microsoft.com/office/drawing/2014/main" id="{BF6CF95E-35CB-98DF-D04A-E88A99BA81DC}"/>
            </a:ext>
          </a:extLst>
        </xdr:cNvPr>
        <xdr:cNvSpPr>
          <a:spLocks noChangeAspect="1" noChangeArrowheads="1"/>
        </xdr:cNvSpPr>
      </xdr:nvSpPr>
      <xdr:spPr bwMode="auto">
        <a:xfrm>
          <a:off x="2438400" y="16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xdr:row>
      <xdr:rowOff>0</xdr:rowOff>
    </xdr:from>
    <xdr:to>
      <xdr:col>3</xdr:col>
      <xdr:colOff>304800</xdr:colOff>
      <xdr:row>9</xdr:row>
      <xdr:rowOff>120650</xdr:rowOff>
    </xdr:to>
    <xdr:sp macro="" textlink="">
      <xdr:nvSpPr>
        <xdr:cNvPr id="3075" name="AutoShape 3" descr="FIFA Council - Wikipedia">
          <a:extLst>
            <a:ext uri="{FF2B5EF4-FFF2-40B4-BE49-F238E27FC236}">
              <a16:creationId xmlns:a16="http://schemas.microsoft.com/office/drawing/2014/main" id="{0335A71B-BAA5-25C1-C0A3-2099EA23D594}"/>
            </a:ext>
          </a:extLst>
        </xdr:cNvPr>
        <xdr:cNvSpPr>
          <a:spLocks noChangeAspect="1" noChangeArrowheads="1"/>
        </xdr:cNvSpPr>
      </xdr:nvSpPr>
      <xdr:spPr bwMode="auto">
        <a:xfrm>
          <a:off x="182880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254000</xdr:colOff>
      <xdr:row>0</xdr:row>
      <xdr:rowOff>0</xdr:rowOff>
    </xdr:from>
    <xdr:to>
      <xdr:col>2</xdr:col>
      <xdr:colOff>88900</xdr:colOff>
      <xdr:row>1</xdr:row>
      <xdr:rowOff>178612</xdr:rowOff>
    </xdr:to>
    <xdr:pic>
      <xdr:nvPicPr>
        <xdr:cNvPr id="5" name="Graphic 4">
          <a:extLst>
            <a:ext uri="{FF2B5EF4-FFF2-40B4-BE49-F238E27FC236}">
              <a16:creationId xmlns:a16="http://schemas.microsoft.com/office/drawing/2014/main" id="{666238EA-C88D-83FB-EFE8-3C19CCE77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4000" y="0"/>
          <a:ext cx="1054100" cy="362762"/>
        </a:xfrm>
        <a:prstGeom prst="rect">
          <a:avLst/>
        </a:prstGeom>
      </xdr:spPr>
    </xdr:pic>
    <xdr:clientData/>
  </xdr:twoCellAnchor>
  <xdr:twoCellAnchor>
    <xdr:from>
      <xdr:col>10</xdr:col>
      <xdr:colOff>6350</xdr:colOff>
      <xdr:row>6</xdr:row>
      <xdr:rowOff>133350</xdr:rowOff>
    </xdr:from>
    <xdr:to>
      <xdr:col>16</xdr:col>
      <xdr:colOff>336550</xdr:colOff>
      <xdr:row>20</xdr:row>
      <xdr:rowOff>12700</xdr:rowOff>
    </xdr:to>
    <xdr:graphicFrame macro="">
      <xdr:nvGraphicFramePr>
        <xdr:cNvPr id="2" name="Chart 1">
          <a:extLst>
            <a:ext uri="{FF2B5EF4-FFF2-40B4-BE49-F238E27FC236}">
              <a16:creationId xmlns:a16="http://schemas.microsoft.com/office/drawing/2014/main" id="{EE0BDFCD-A1CC-4CF7-A148-2E2A7E51E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552450</xdr:colOff>
      <xdr:row>6</xdr:row>
      <xdr:rowOff>146050</xdr:rowOff>
    </xdr:from>
    <xdr:to>
      <xdr:col>9</xdr:col>
      <xdr:colOff>495300</xdr:colOff>
      <xdr:row>19</xdr:row>
      <xdr:rowOff>158750</xdr:rowOff>
    </xdr:to>
    <xdr:graphicFrame macro="">
      <xdr:nvGraphicFramePr>
        <xdr:cNvPr id="4" name="Chart 3">
          <a:extLst>
            <a:ext uri="{FF2B5EF4-FFF2-40B4-BE49-F238E27FC236}">
              <a16:creationId xmlns:a16="http://schemas.microsoft.com/office/drawing/2014/main" id="{F446FEFA-F7A4-4DF3-B0D6-637AA402D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527050</xdr:colOff>
      <xdr:row>2</xdr:row>
      <xdr:rowOff>114300</xdr:rowOff>
    </xdr:from>
    <xdr:to>
      <xdr:col>5</xdr:col>
      <xdr:colOff>279400</xdr:colOff>
      <xdr:row>6</xdr:row>
      <xdr:rowOff>25400</xdr:rowOff>
    </xdr:to>
    <xdr:sp macro="" textlink="">
      <xdr:nvSpPr>
        <xdr:cNvPr id="6" name="Rectangle: Rounded Corners 5">
          <a:extLst>
            <a:ext uri="{FF2B5EF4-FFF2-40B4-BE49-F238E27FC236}">
              <a16:creationId xmlns:a16="http://schemas.microsoft.com/office/drawing/2014/main" id="{4E285844-DAED-0739-431A-F62CCBBCC59B}"/>
            </a:ext>
          </a:extLst>
        </xdr:cNvPr>
        <xdr:cNvSpPr/>
      </xdr:nvSpPr>
      <xdr:spPr>
        <a:xfrm>
          <a:off x="1746250" y="482600"/>
          <a:ext cx="1581150" cy="647700"/>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MOST DRIBBLES</a:t>
          </a:r>
        </a:p>
        <a:p>
          <a:pPr algn="ctr"/>
          <a:r>
            <a:rPr lang="en-IN" sz="1600" b="1"/>
            <a:t>8</a:t>
          </a:r>
        </a:p>
      </xdr:txBody>
    </xdr:sp>
    <xdr:clientData/>
  </xdr:twoCellAnchor>
  <xdr:twoCellAnchor>
    <xdr:from>
      <xdr:col>5</xdr:col>
      <xdr:colOff>374650</xdr:colOff>
      <xdr:row>2</xdr:row>
      <xdr:rowOff>120650</xdr:rowOff>
    </xdr:from>
    <xdr:to>
      <xdr:col>8</xdr:col>
      <xdr:colOff>127000</xdr:colOff>
      <xdr:row>6</xdr:row>
      <xdr:rowOff>31750</xdr:rowOff>
    </xdr:to>
    <xdr:sp macro="" textlink="">
      <xdr:nvSpPr>
        <xdr:cNvPr id="7" name="Rectangle: Rounded Corners 6">
          <a:extLst>
            <a:ext uri="{FF2B5EF4-FFF2-40B4-BE49-F238E27FC236}">
              <a16:creationId xmlns:a16="http://schemas.microsoft.com/office/drawing/2014/main" id="{FA4023A3-8134-4294-B1C3-66135DEF6BA1}"/>
            </a:ext>
          </a:extLst>
        </xdr:cNvPr>
        <xdr:cNvSpPr/>
      </xdr:nvSpPr>
      <xdr:spPr>
        <a:xfrm>
          <a:off x="3422650" y="488950"/>
          <a:ext cx="1581150" cy="647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a:solidFill>
                <a:schemeClr val="tx1"/>
              </a:solidFill>
            </a:rPr>
            <a:t>TOTAL GOAL SCORED</a:t>
          </a:r>
        </a:p>
        <a:p>
          <a:pPr algn="l"/>
          <a:r>
            <a:rPr lang="en-IN" sz="1100" b="1" i="0">
              <a:solidFill>
                <a:schemeClr val="tx1"/>
              </a:solidFill>
            </a:rPr>
            <a:t>                       </a:t>
          </a:r>
          <a:r>
            <a:rPr lang="en-IN" sz="1600" b="1" i="0">
              <a:solidFill>
                <a:schemeClr val="tx1"/>
              </a:solidFill>
            </a:rPr>
            <a:t>26</a:t>
          </a:r>
          <a:endParaRPr lang="en-IN" sz="1100" b="1" i="0">
            <a:solidFill>
              <a:schemeClr val="tx1"/>
            </a:solidFill>
          </a:endParaRPr>
        </a:p>
      </xdr:txBody>
    </xdr:sp>
    <xdr:clientData/>
  </xdr:twoCellAnchor>
  <xdr:twoCellAnchor>
    <xdr:from>
      <xdr:col>8</xdr:col>
      <xdr:colOff>241300</xdr:colOff>
      <xdr:row>2</xdr:row>
      <xdr:rowOff>120650</xdr:rowOff>
    </xdr:from>
    <xdr:to>
      <xdr:col>10</xdr:col>
      <xdr:colOff>603250</xdr:colOff>
      <xdr:row>6</xdr:row>
      <xdr:rowOff>31750</xdr:rowOff>
    </xdr:to>
    <xdr:sp macro="" textlink="">
      <xdr:nvSpPr>
        <xdr:cNvPr id="8" name="Rectangle: Rounded Corners 7">
          <a:extLst>
            <a:ext uri="{FF2B5EF4-FFF2-40B4-BE49-F238E27FC236}">
              <a16:creationId xmlns:a16="http://schemas.microsoft.com/office/drawing/2014/main" id="{0FD164E5-53E3-401C-AC19-91F9755A5E2E}"/>
            </a:ext>
          </a:extLst>
        </xdr:cNvPr>
        <xdr:cNvSpPr/>
      </xdr:nvSpPr>
      <xdr:spPr>
        <a:xfrm>
          <a:off x="5118100" y="488950"/>
          <a:ext cx="1581150" cy="647700"/>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 TACKLES/90</a:t>
          </a:r>
          <a:r>
            <a:rPr lang="en-IN" sz="1100" b="1" baseline="0"/>
            <a:t> MIN</a:t>
          </a:r>
        </a:p>
        <a:p>
          <a:pPr algn="ctr"/>
          <a:r>
            <a:rPr lang="en-IN" sz="1400" b="1" baseline="0"/>
            <a:t>1.22</a:t>
          </a:r>
          <a:endParaRPr lang="en-IN" sz="1400" b="1"/>
        </a:p>
      </xdr:txBody>
    </xdr:sp>
    <xdr:clientData/>
  </xdr:twoCellAnchor>
  <xdr:twoCellAnchor>
    <xdr:from>
      <xdr:col>11</xdr:col>
      <xdr:colOff>107950</xdr:colOff>
      <xdr:row>2</xdr:row>
      <xdr:rowOff>107950</xdr:rowOff>
    </xdr:from>
    <xdr:to>
      <xdr:col>13</xdr:col>
      <xdr:colOff>469900</xdr:colOff>
      <xdr:row>6</xdr:row>
      <xdr:rowOff>19050</xdr:rowOff>
    </xdr:to>
    <xdr:sp macro="" textlink="">
      <xdr:nvSpPr>
        <xdr:cNvPr id="9" name="Rectangle: Rounded Corners 8">
          <a:extLst>
            <a:ext uri="{FF2B5EF4-FFF2-40B4-BE49-F238E27FC236}">
              <a16:creationId xmlns:a16="http://schemas.microsoft.com/office/drawing/2014/main" id="{EA497F98-5110-400A-A393-7233B730DD58}"/>
            </a:ext>
          </a:extLst>
        </xdr:cNvPr>
        <xdr:cNvSpPr/>
      </xdr:nvSpPr>
      <xdr:spPr>
        <a:xfrm>
          <a:off x="6813550" y="476250"/>
          <a:ext cx="1581150" cy="647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DUELS WON </a:t>
          </a:r>
        </a:p>
        <a:p>
          <a:pPr algn="ctr"/>
          <a:r>
            <a:rPr lang="en-IN" sz="1600" b="1" baseline="0">
              <a:solidFill>
                <a:schemeClr val="tx1"/>
              </a:solidFill>
            </a:rPr>
            <a:t>112</a:t>
          </a:r>
          <a:endParaRPr lang="en-IN" sz="1600" b="1">
            <a:solidFill>
              <a:schemeClr val="tx1"/>
            </a:solidFill>
          </a:endParaRPr>
        </a:p>
      </xdr:txBody>
    </xdr:sp>
    <xdr:clientData/>
  </xdr:twoCellAnchor>
  <xdr:twoCellAnchor>
    <xdr:from>
      <xdr:col>13</xdr:col>
      <xdr:colOff>584200</xdr:colOff>
      <xdr:row>2</xdr:row>
      <xdr:rowOff>95250</xdr:rowOff>
    </xdr:from>
    <xdr:to>
      <xdr:col>16</xdr:col>
      <xdr:colOff>336550</xdr:colOff>
      <xdr:row>6</xdr:row>
      <xdr:rowOff>6350</xdr:rowOff>
    </xdr:to>
    <xdr:sp macro="" textlink="">
      <xdr:nvSpPr>
        <xdr:cNvPr id="10" name="Rectangle: Rounded Corners 9">
          <a:extLst>
            <a:ext uri="{FF2B5EF4-FFF2-40B4-BE49-F238E27FC236}">
              <a16:creationId xmlns:a16="http://schemas.microsoft.com/office/drawing/2014/main" id="{30B3EB2C-3887-4CCC-B3FC-28A2C903B8D5}"/>
            </a:ext>
          </a:extLst>
        </xdr:cNvPr>
        <xdr:cNvSpPr/>
      </xdr:nvSpPr>
      <xdr:spPr>
        <a:xfrm>
          <a:off x="8509000" y="463550"/>
          <a:ext cx="1581150" cy="647700"/>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b="1" baseline="0"/>
            <a:t> ASSIST</a:t>
          </a:r>
        </a:p>
        <a:p>
          <a:pPr algn="ctr"/>
          <a:r>
            <a:rPr lang="en-IN" sz="1600" b="1" baseline="0"/>
            <a:t>8</a:t>
          </a:r>
          <a:endParaRPr lang="en-IN" sz="1600" b="1"/>
        </a:p>
      </xdr:txBody>
    </xdr:sp>
    <xdr:clientData/>
  </xdr:twoCellAnchor>
  <xdr:twoCellAnchor editAs="oneCell">
    <xdr:from>
      <xdr:col>0</xdr:col>
      <xdr:colOff>50800</xdr:colOff>
      <xdr:row>2</xdr:row>
      <xdr:rowOff>38100</xdr:rowOff>
    </xdr:from>
    <xdr:to>
      <xdr:col>2</xdr:col>
      <xdr:colOff>438150</xdr:colOff>
      <xdr:row>10</xdr:row>
      <xdr:rowOff>95250</xdr:rowOff>
    </xdr:to>
    <mc:AlternateContent xmlns:mc="http://schemas.openxmlformats.org/markup-compatibility/2006" xmlns:a14="http://schemas.microsoft.com/office/drawing/2010/main">
      <mc:Choice Requires="a14">
        <xdr:graphicFrame macro="">
          <xdr:nvGraphicFramePr>
            <xdr:cNvPr id="11" name="Position">
              <a:extLst>
                <a:ext uri="{FF2B5EF4-FFF2-40B4-BE49-F238E27FC236}">
                  <a16:creationId xmlns:a16="http://schemas.microsoft.com/office/drawing/2014/main" id="{879EAE4E-FFE5-DFE3-0B10-FD89ACAFE972}"/>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50800" y="400957"/>
              <a:ext cx="1611993" cy="1508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520700</xdr:colOff>
      <xdr:row>4</xdr:row>
      <xdr:rowOff>12700</xdr:rowOff>
    </xdr:from>
    <xdr:to>
      <xdr:col>6</xdr:col>
      <xdr:colOff>209550</xdr:colOff>
      <xdr:row>5</xdr:row>
      <xdr:rowOff>127000</xdr:rowOff>
    </xdr:to>
    <xdr:pic>
      <xdr:nvPicPr>
        <xdr:cNvPr id="13" name="Graphic 12" descr="Soccer ball with solid fill">
          <a:extLst>
            <a:ext uri="{FF2B5EF4-FFF2-40B4-BE49-F238E27FC236}">
              <a16:creationId xmlns:a16="http://schemas.microsoft.com/office/drawing/2014/main" id="{0D38BE12-E2D6-ADE7-F057-2B81EB0569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68700" y="749300"/>
          <a:ext cx="298450" cy="298450"/>
        </a:xfrm>
        <a:prstGeom prst="rect">
          <a:avLst/>
        </a:prstGeom>
      </xdr:spPr>
    </xdr:pic>
    <xdr:clientData/>
  </xdr:twoCellAnchor>
  <xdr:twoCellAnchor editAs="oneCell">
    <xdr:from>
      <xdr:col>8</xdr:col>
      <xdr:colOff>361950</xdr:colOff>
      <xdr:row>4</xdr:row>
      <xdr:rowOff>12700</xdr:rowOff>
    </xdr:from>
    <xdr:to>
      <xdr:col>9</xdr:col>
      <xdr:colOff>63500</xdr:colOff>
      <xdr:row>5</xdr:row>
      <xdr:rowOff>139700</xdr:rowOff>
    </xdr:to>
    <xdr:pic>
      <xdr:nvPicPr>
        <xdr:cNvPr id="15" name="Graphic 14" descr="Playbook with solid fill">
          <a:extLst>
            <a:ext uri="{FF2B5EF4-FFF2-40B4-BE49-F238E27FC236}">
              <a16:creationId xmlns:a16="http://schemas.microsoft.com/office/drawing/2014/main" id="{436F2F7F-2EFE-A215-0D28-496E69E86A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38750" y="749300"/>
          <a:ext cx="311150" cy="311150"/>
        </a:xfrm>
        <a:prstGeom prst="rect">
          <a:avLst/>
        </a:prstGeom>
      </xdr:spPr>
    </xdr:pic>
    <xdr:clientData/>
  </xdr:twoCellAnchor>
  <xdr:twoCellAnchor editAs="oneCell">
    <xdr:from>
      <xdr:col>3</xdr:col>
      <xdr:colOff>152400</xdr:colOff>
      <xdr:row>4</xdr:row>
      <xdr:rowOff>6350</xdr:rowOff>
    </xdr:from>
    <xdr:to>
      <xdr:col>3</xdr:col>
      <xdr:colOff>482600</xdr:colOff>
      <xdr:row>5</xdr:row>
      <xdr:rowOff>152400</xdr:rowOff>
    </xdr:to>
    <xdr:pic>
      <xdr:nvPicPr>
        <xdr:cNvPr id="17" name="Graphic 16" descr="Lightning bolt with solid fill">
          <a:extLst>
            <a:ext uri="{FF2B5EF4-FFF2-40B4-BE49-F238E27FC236}">
              <a16:creationId xmlns:a16="http://schemas.microsoft.com/office/drawing/2014/main" id="{E65805E0-4629-AEEB-76E5-5A1AB0953E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1200" y="742950"/>
          <a:ext cx="330200" cy="330200"/>
        </a:xfrm>
        <a:prstGeom prst="rect">
          <a:avLst/>
        </a:prstGeom>
      </xdr:spPr>
    </xdr:pic>
    <xdr:clientData/>
  </xdr:twoCellAnchor>
  <xdr:twoCellAnchor editAs="oneCell">
    <xdr:from>
      <xdr:col>11</xdr:col>
      <xdr:colOff>317500</xdr:colOff>
      <xdr:row>4</xdr:row>
      <xdr:rowOff>0</xdr:rowOff>
    </xdr:from>
    <xdr:to>
      <xdr:col>12</xdr:col>
      <xdr:colOff>52918</xdr:colOff>
      <xdr:row>5</xdr:row>
      <xdr:rowOff>166310</xdr:rowOff>
    </xdr:to>
    <xdr:pic>
      <xdr:nvPicPr>
        <xdr:cNvPr id="19" name="Graphic 18" descr="Upward trend with solid fill">
          <a:extLst>
            <a:ext uri="{FF2B5EF4-FFF2-40B4-BE49-F238E27FC236}">
              <a16:creationId xmlns:a16="http://schemas.microsoft.com/office/drawing/2014/main" id="{95391F60-D1DD-73B1-6D48-282FA8B2A76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53036" y="725714"/>
          <a:ext cx="347739" cy="347739"/>
        </a:xfrm>
        <a:prstGeom prst="rect">
          <a:avLst/>
        </a:prstGeom>
      </xdr:spPr>
    </xdr:pic>
    <xdr:clientData/>
  </xdr:twoCellAnchor>
  <xdr:twoCellAnchor editAs="oneCell">
    <xdr:from>
      <xdr:col>14</xdr:col>
      <xdr:colOff>264583</xdr:colOff>
      <xdr:row>4</xdr:row>
      <xdr:rowOff>0</xdr:rowOff>
    </xdr:from>
    <xdr:to>
      <xdr:col>14</xdr:col>
      <xdr:colOff>582083</xdr:colOff>
      <xdr:row>5</xdr:row>
      <xdr:rowOff>136071</xdr:rowOff>
    </xdr:to>
    <xdr:pic>
      <xdr:nvPicPr>
        <xdr:cNvPr id="21" name="Graphic 20" descr="Muscular arm with solid fill">
          <a:extLst>
            <a:ext uri="{FF2B5EF4-FFF2-40B4-BE49-F238E27FC236}">
              <a16:creationId xmlns:a16="http://schemas.microsoft.com/office/drawing/2014/main" id="{ED38D1F1-33FF-D8C7-2DF5-3018AE5AB05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837083" y="725714"/>
          <a:ext cx="317500" cy="317500"/>
        </a:xfrm>
        <a:prstGeom prst="rect">
          <a:avLst/>
        </a:prstGeom>
      </xdr:spPr>
    </xdr:pic>
    <xdr:clientData/>
  </xdr:twoCellAnchor>
  <xdr:twoCellAnchor>
    <xdr:from>
      <xdr:col>2</xdr:col>
      <xdr:colOff>529167</xdr:colOff>
      <xdr:row>20</xdr:row>
      <xdr:rowOff>173870</xdr:rowOff>
    </xdr:from>
    <xdr:to>
      <xdr:col>9</xdr:col>
      <xdr:colOff>498928</xdr:colOff>
      <xdr:row>36</xdr:row>
      <xdr:rowOff>14212</xdr:rowOff>
    </xdr:to>
    <xdr:graphicFrame macro="">
      <xdr:nvGraphicFramePr>
        <xdr:cNvPr id="12" name="Chart 11">
          <a:extLst>
            <a:ext uri="{FF2B5EF4-FFF2-40B4-BE49-F238E27FC236}">
              <a16:creationId xmlns:a16="http://schemas.microsoft.com/office/drawing/2014/main" id="{F785B48E-0169-42CC-B9B3-67A57DE62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15119</xdr:colOff>
      <xdr:row>21</xdr:row>
      <xdr:rowOff>83154</xdr:rowOff>
    </xdr:from>
    <xdr:to>
      <xdr:col>17</xdr:col>
      <xdr:colOff>300869</xdr:colOff>
      <xdr:row>36</xdr:row>
      <xdr:rowOff>104925</xdr:rowOff>
    </xdr:to>
    <xdr:graphicFrame macro="">
      <xdr:nvGraphicFramePr>
        <xdr:cNvPr id="14" name="Chart 13">
          <a:extLst>
            <a:ext uri="{FF2B5EF4-FFF2-40B4-BE49-F238E27FC236}">
              <a16:creationId xmlns:a16="http://schemas.microsoft.com/office/drawing/2014/main" id="{FA27EE64-D996-4B08-A830-A47FAC0B9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AppData/Local/Microsoft/Windows/INetCache/IE/LW6YJQK2/Copy%20of%202461429_Thishan_DataAnalysis%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eesha Saravanan" refreshedDate="45922.435053819441" createdVersion="8" refreshedVersion="8" minRefreshableVersion="3" recordCount="26" xr:uid="{25AE7E01-9A5D-44F9-B069-B0361C855E3C}">
  <cacheSource type="worksheet">
    <worksheetSource ref="B6:M32" sheet=".xlsx]DATASET" r:id="rId2"/>
  </cacheSource>
  <cacheFields count="12">
    <cacheField name="Player Name " numFmtId="0">
      <sharedItems/>
    </cacheField>
    <cacheField name="Position" numFmtId="0">
      <sharedItems count="4">
        <s v="DF"/>
        <s v="MF"/>
        <s v="FW"/>
        <s v="GK"/>
      </sharedItems>
    </cacheField>
    <cacheField name="Jersey Number" numFmtId="0">
      <sharedItems containsSemiMixedTypes="0" containsString="0" containsNumber="1" containsInteger="1" minValue="1" maxValue="26"/>
    </cacheField>
    <cacheField name="Player DOB" numFmtId="14">
      <sharedItems containsSemiMixedTypes="0" containsNonDate="0" containsDate="1" containsString="0" minDate="1987-01-13T00:00:00" maxDate="2001-03-27T00:00:00"/>
    </cacheField>
    <cacheField name="Club " numFmtId="0">
      <sharedItems count="18">
        <s v="Benfica"/>
        <s v="Sevilla"/>
        <s v="Lyon"/>
        <s v="Real Betis"/>
        <s v="Atletico Madrid"/>
        <s v="Villarreal"/>
        <s v="Tottenham"/>
        <s v="Manchester United"/>
        <s v="Juventus"/>
        <s v="Bayer Leverkusen"/>
        <s v="Brighton"/>
        <s v="Atlanta United"/>
        <s v="PSG"/>
        <s v="Inter"/>
        <s v="Roma"/>
        <s v="Manchester City"/>
        <s v="Aston Villa"/>
        <s v="River"/>
      </sharedItems>
    </cacheField>
    <cacheField name=" Appearances" numFmtId="0">
      <sharedItems containsSemiMixedTypes="0" containsString="0" containsNumber="1" containsInteger="1" minValue="0" maxValue="7"/>
    </cacheField>
    <cacheField name="Goals Scored " numFmtId="0">
      <sharedItems containsSemiMixedTypes="0" containsString="0" containsNumber="1" containsInteger="1" minValue="0" maxValue="7"/>
    </cacheField>
    <cacheField name="Assists Provided " numFmtId="0">
      <sharedItems containsSemiMixedTypes="0" containsString="0" containsNumber="1" containsInteger="1" minValue="0" maxValue="3"/>
    </cacheField>
    <cacheField name="Dribbles per 90 Min" numFmtId="0">
      <sharedItems containsSemiMixedTypes="0" containsString="0" containsNumber="1" minValue="0" maxValue="6.83"/>
    </cacheField>
    <cacheField name="Interceptions per 90 Min" numFmtId="0">
      <sharedItems containsSemiMixedTypes="0" containsString="0" containsNumber="1" minValue="0" maxValue="3.83"/>
    </cacheField>
    <cacheField name="Tackles per 90 Min" numFmtId="0">
      <sharedItems containsSemiMixedTypes="0" containsString="0" containsNumber="1" minValue="0" maxValue="4.0199999999999996"/>
    </cacheField>
    <cacheField name="Total Duels Won per 90 Min" numFmtId="0">
      <sharedItems containsSemiMixedTypes="0" containsString="0" containsNumber="1" minValue="0" maxValue="9.24"/>
    </cacheField>
  </cacheFields>
  <extLst>
    <ext xmlns:x14="http://schemas.microsoft.com/office/spreadsheetml/2009/9/main" uri="{725AE2AE-9491-48be-B2B4-4EB974FC3084}">
      <x14:pivotCacheDefinition pivotCacheId="175128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yaksh Sharma" refreshedDate="45922.625195833331" createdVersion="8" refreshedVersion="8" minRefreshableVersion="3" recordCount="26" xr:uid="{96A45B47-CC40-4EEB-84C8-3BE043C846DB}">
  <cacheSource type="worksheet">
    <worksheetSource ref="B6:M32" sheet="DATASET"/>
  </cacheSource>
  <cacheFields count="12">
    <cacheField name="Player Name " numFmtId="0">
      <sharedItems count="26">
        <s v="Nicolas Otamendi"/>
        <s v="Marcos Acuna"/>
        <s v="Nicolas Tagliafico"/>
        <s v="German Pezzella"/>
        <s v="Nahuel Molina"/>
        <s v="Gonzalo Montiel"/>
        <s v="Juan Foyth"/>
        <s v="Cristian Romero"/>
        <s v="Lisandro Martinez"/>
        <s v="Leandro Paredes"/>
        <s v="Rodrigo De Paul"/>
        <s v="Guido Rodriguez"/>
        <s v="Exequiel Palacios"/>
        <s v="Alexis Mac Allister"/>
        <s v="Enzo Fernandez"/>
        <s v="Alejandro Gomez"/>
        <s v="Lionel Messi"/>
        <s v="Lautaro Martinez"/>
        <s v="Paulo Dybala"/>
        <s v="Thiago Almada"/>
        <s v="Julian Alvarez"/>
        <s v="Angel Di Maria"/>
        <s v="Angel Correa"/>
        <s v="Emiliano Martinez"/>
        <s v="Franco Armani"/>
        <s v="Geronimo Rulli"/>
      </sharedItems>
    </cacheField>
    <cacheField name="Position" numFmtId="0">
      <sharedItems count="4">
        <s v="DF"/>
        <s v="MF"/>
        <s v="FW"/>
        <s v="GK"/>
      </sharedItems>
    </cacheField>
    <cacheField name="Jersey Number" numFmtId="0">
      <sharedItems containsSemiMixedTypes="0" containsString="0" containsNumber="1" containsInteger="1" minValue="1" maxValue="26"/>
    </cacheField>
    <cacheField name="Player DOB" numFmtId="14">
      <sharedItems containsSemiMixedTypes="0" containsNonDate="0" containsDate="1" containsString="0" minDate="1987-01-13T00:00:00" maxDate="2001-03-27T00:00:00"/>
    </cacheField>
    <cacheField name="Club " numFmtId="0">
      <sharedItems/>
    </cacheField>
    <cacheField name=" Appearances" numFmtId="0">
      <sharedItems containsSemiMixedTypes="0" containsString="0" containsNumber="1" containsInteger="1" minValue="0" maxValue="7"/>
    </cacheField>
    <cacheField name="Goals Scored " numFmtId="0">
      <sharedItems containsSemiMixedTypes="0" containsString="0" containsNumber="1" containsInteger="1" minValue="0" maxValue="7"/>
    </cacheField>
    <cacheField name="Assists Provided " numFmtId="0">
      <sharedItems containsSemiMixedTypes="0" containsString="0" containsNumber="1" containsInteger="1" minValue="0" maxValue="3"/>
    </cacheField>
    <cacheField name="Dribbles per 90 Min" numFmtId="0">
      <sharedItems containsSemiMixedTypes="0" containsString="0" containsNumber="1" minValue="0" maxValue="6.83"/>
    </cacheField>
    <cacheField name="Interceptions per 90 Min" numFmtId="0">
      <sharedItems containsSemiMixedTypes="0" containsString="0" containsNumber="1" minValue="0" maxValue="3.83"/>
    </cacheField>
    <cacheField name="Tackles per 90 Min" numFmtId="0">
      <sharedItems containsSemiMixedTypes="0" containsString="0" containsNumber="1" minValue="0" maxValue="4.0199999999999996"/>
    </cacheField>
    <cacheField name="Total Duels Won per 90 Min" numFmtId="0">
      <sharedItems containsSemiMixedTypes="0" containsString="0" containsNumber="1" minValue="0" maxValue="9.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Nicolas Otamendi"/>
    <x v="0"/>
    <n v="19"/>
    <d v="1989-07-13T00:00:00"/>
    <x v="0"/>
    <n v="7"/>
    <n v="0"/>
    <n v="1"/>
    <n v="0.33"/>
    <n v="1.17"/>
    <n v="1.3"/>
    <n v="7.17"/>
  </r>
  <r>
    <s v="Marcos Acuna"/>
    <x v="0"/>
    <n v="8"/>
    <d v="1991-03-16T00:00:00"/>
    <x v="1"/>
    <n v="6"/>
    <n v="0"/>
    <n v="0"/>
    <n v="1.45"/>
    <n v="0.48"/>
    <n v="2.9"/>
    <n v="7.97"/>
  </r>
  <r>
    <s v="Nicolas Tagliafico"/>
    <x v="0"/>
    <n v="3"/>
    <d v="1991-05-06T00:00:00"/>
    <x v="2"/>
    <n v="6"/>
    <n v="0"/>
    <n v="0"/>
    <n v="0.48"/>
    <n v="2.17"/>
    <n v="1.69"/>
    <n v="5.07"/>
  </r>
  <r>
    <s v="German Pezzella"/>
    <x v="0"/>
    <n v="6"/>
    <d v="1991-02-25T00:00:00"/>
    <x v="3"/>
    <n v="3"/>
    <n v="0"/>
    <n v="0"/>
    <n v="0"/>
    <n v="0"/>
    <n v="0"/>
    <n v="3.16"/>
  </r>
  <r>
    <s v="Nahuel Molina"/>
    <x v="0"/>
    <n v="26"/>
    <d v="1998-02-11T00:00:00"/>
    <x v="4"/>
    <n v="7"/>
    <n v="1"/>
    <n v="1"/>
    <n v="0.32"/>
    <n v="0.47"/>
    <n v="1.42"/>
    <n v="1.58"/>
  </r>
  <r>
    <s v="Gonzalo Montiel"/>
    <x v="0"/>
    <n v="4"/>
    <d v="1997-07-11T00:00:00"/>
    <x v="1"/>
    <n v="4"/>
    <n v="0"/>
    <n v="0"/>
    <n v="0.77"/>
    <n v="0.77"/>
    <n v="2.31"/>
    <n v="5.39"/>
  </r>
  <r>
    <s v="Juan Foyth"/>
    <x v="0"/>
    <n v="2"/>
    <d v="1997-09-30T00:00:00"/>
    <x v="5"/>
    <n v="1"/>
    <n v="0"/>
    <n v="0"/>
    <n v="0"/>
    <n v="0"/>
    <n v="0"/>
    <n v="0"/>
  </r>
  <r>
    <s v="Cristian Romero"/>
    <x v="0"/>
    <n v="13"/>
    <d v="1998-02-23T00:00:00"/>
    <x v="6"/>
    <n v="7"/>
    <n v="0"/>
    <n v="0"/>
    <n v="0.16"/>
    <n v="0.49"/>
    <n v="0.82"/>
    <n v="5.09"/>
  </r>
  <r>
    <s v="Lisandro Martinez"/>
    <x v="0"/>
    <n v="25"/>
    <d v="1997-10-09T00:00:00"/>
    <x v="7"/>
    <n v="5"/>
    <n v="0"/>
    <n v="0"/>
    <n v="0.3"/>
    <n v="0.9"/>
    <n v="1.5"/>
    <n v="4.1900000000000004"/>
  </r>
  <r>
    <s v="Leandro Paredes"/>
    <x v="1"/>
    <n v="5"/>
    <d v="1992-09-25T00:00:00"/>
    <x v="8"/>
    <n v="5"/>
    <n v="0"/>
    <n v="0"/>
    <n v="0.4"/>
    <n v="1.21"/>
    <n v="4.0199999999999996"/>
    <n v="9.24"/>
  </r>
  <r>
    <s v="Rodrigo De Paul"/>
    <x v="1"/>
    <n v="7"/>
    <d v="1992-06-17T00:00:00"/>
    <x v="4"/>
    <n v="7"/>
    <n v="0"/>
    <n v="0"/>
    <n v="0.6"/>
    <n v="1.05"/>
    <n v="1.79"/>
    <n v="4.6399999999999997"/>
  </r>
  <r>
    <s v="Guido Rodriguez"/>
    <x v="1"/>
    <n v="18"/>
    <d v="1992-05-18T00:00:00"/>
    <x v="3"/>
    <n v="1"/>
    <n v="0"/>
    <n v="0"/>
    <n v="0"/>
    <n v="0"/>
    <n v="3.16"/>
    <n v="6.32"/>
  </r>
  <r>
    <s v="Exequiel Palacios"/>
    <x v="1"/>
    <n v="14"/>
    <d v="1998-07-01T00:00:00"/>
    <x v="9"/>
    <n v="3"/>
    <n v="0"/>
    <n v="0"/>
    <n v="0"/>
    <n v="3.83"/>
    <n v="1.91"/>
    <n v="7.66"/>
  </r>
  <r>
    <s v="Alexis Mac Allister"/>
    <x v="1"/>
    <n v="20"/>
    <d v="1998-07-23T00:00:00"/>
    <x v="10"/>
    <n v="6"/>
    <n v="1"/>
    <n v="1"/>
    <n v="0.97"/>
    <n v="0.49"/>
    <n v="1.46"/>
    <n v="5.85"/>
  </r>
  <r>
    <s v="Enzo Fernandez"/>
    <x v="1"/>
    <n v="24"/>
    <d v="2001-03-07T00:00:00"/>
    <x v="0"/>
    <n v="7"/>
    <n v="1"/>
    <n v="1"/>
    <n v="0.8"/>
    <n v="0.48"/>
    <n v="3.52"/>
    <n v="7.83"/>
  </r>
  <r>
    <s v="Alejandro Gomez"/>
    <x v="1"/>
    <n v="17"/>
    <d v="2001-03-26T00:00:00"/>
    <x v="11"/>
    <n v="2"/>
    <n v="0"/>
    <n v="0"/>
    <n v="0.83"/>
    <n v="0.83"/>
    <n v="1.65"/>
    <n v="8.26"/>
  </r>
  <r>
    <s v="Lionel Messi"/>
    <x v="2"/>
    <n v="10"/>
    <d v="1987-01-13T00:00:00"/>
    <x v="12"/>
    <n v="7"/>
    <n v="7"/>
    <n v="3"/>
    <n v="3.78"/>
    <n v="0"/>
    <n v="0.65"/>
    <n v="6.39"/>
  </r>
  <r>
    <s v="Lautaro Martinez"/>
    <x v="2"/>
    <n v="22"/>
    <d v="1998-04-12T00:00:00"/>
    <x v="13"/>
    <n v="6"/>
    <n v="0"/>
    <n v="0"/>
    <n v="1.89"/>
    <n v="0.38"/>
    <n v="0"/>
    <n v="6.81"/>
  </r>
  <r>
    <s v="Paulo Dybala"/>
    <x v="2"/>
    <n v="21"/>
    <d v="1991-04-09T00:00:00"/>
    <x v="14"/>
    <n v="2"/>
    <n v="0"/>
    <n v="0"/>
    <n v="5.62"/>
    <n v="0"/>
    <n v="0"/>
    <n v="0"/>
  </r>
  <r>
    <s v="Thiago Almada"/>
    <x v="2"/>
    <n v="16"/>
    <d v="2001-03-26T00:00:00"/>
    <x v="13"/>
    <n v="1"/>
    <n v="0"/>
    <n v="0"/>
    <n v="0"/>
    <n v="0"/>
    <n v="0"/>
    <n v="0"/>
  </r>
  <r>
    <s v="Julian Alvarez"/>
    <x v="2"/>
    <n v="9"/>
    <d v="2000-02-10T00:00:00"/>
    <x v="15"/>
    <n v="7"/>
    <n v="4"/>
    <n v="0"/>
    <n v="0.57999999999999996"/>
    <n v="0"/>
    <n v="0.77"/>
    <n v="1.93"/>
  </r>
  <r>
    <s v="Angel Di Maria"/>
    <x v="2"/>
    <n v="11"/>
    <d v="1989-07-16T00:00:00"/>
    <x v="8"/>
    <n v="5"/>
    <n v="1"/>
    <n v="1"/>
    <n v="6.83"/>
    <n v="0.31"/>
    <n v="0.93"/>
    <n v="7.14"/>
  </r>
  <r>
    <s v="Angel Correa"/>
    <x v="2"/>
    <n v="15"/>
    <d v="1995-07-28T00:00:00"/>
    <x v="4"/>
    <n v="1"/>
    <n v="0"/>
    <n v="0"/>
    <n v="0"/>
    <n v="0"/>
    <n v="0"/>
    <n v="0"/>
  </r>
  <r>
    <s v="Emiliano Martinez"/>
    <x v="3"/>
    <n v="23"/>
    <d v="1991-05-07T00:00:00"/>
    <x v="16"/>
    <n v="7"/>
    <n v="0"/>
    <n v="0"/>
    <n v="0"/>
    <n v="0"/>
    <n v="0"/>
    <n v="0.65"/>
  </r>
  <r>
    <s v="Franco Armani"/>
    <x v="3"/>
    <n v="1"/>
    <d v="1987-05-29T00:00:00"/>
    <x v="17"/>
    <n v="0"/>
    <n v="0"/>
    <n v="0"/>
    <n v="0"/>
    <n v="0"/>
    <n v="0"/>
    <n v="0"/>
  </r>
  <r>
    <s v="Geronimo Rulli"/>
    <x v="3"/>
    <n v="12"/>
    <d v="1991-07-15T00:00:00"/>
    <x v="5"/>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19"/>
    <d v="1989-07-13T00:00:00"/>
    <s v="Benfica"/>
    <n v="7"/>
    <n v="0"/>
    <n v="1"/>
    <n v="0.33"/>
    <n v="1.17"/>
    <n v="1.3"/>
    <n v="7.17"/>
  </r>
  <r>
    <x v="1"/>
    <x v="0"/>
    <n v="8"/>
    <d v="1991-03-16T00:00:00"/>
    <s v="Sevilla"/>
    <n v="6"/>
    <n v="0"/>
    <n v="0"/>
    <n v="1.45"/>
    <n v="0.48"/>
    <n v="2.9"/>
    <n v="7.97"/>
  </r>
  <r>
    <x v="2"/>
    <x v="0"/>
    <n v="3"/>
    <d v="1991-05-06T00:00:00"/>
    <s v="Lyon"/>
    <n v="6"/>
    <n v="0"/>
    <n v="0"/>
    <n v="0.48"/>
    <n v="2.17"/>
    <n v="1.69"/>
    <n v="5.07"/>
  </r>
  <r>
    <x v="3"/>
    <x v="0"/>
    <n v="6"/>
    <d v="1991-02-25T00:00:00"/>
    <s v="Real Betis"/>
    <n v="3"/>
    <n v="0"/>
    <n v="0"/>
    <n v="0"/>
    <n v="0"/>
    <n v="0"/>
    <n v="3.16"/>
  </r>
  <r>
    <x v="4"/>
    <x v="0"/>
    <n v="26"/>
    <d v="1998-02-11T00:00:00"/>
    <s v="Atletico Madrid"/>
    <n v="7"/>
    <n v="1"/>
    <n v="1"/>
    <n v="0.32"/>
    <n v="0.47"/>
    <n v="1.42"/>
    <n v="1.58"/>
  </r>
  <r>
    <x v="5"/>
    <x v="0"/>
    <n v="4"/>
    <d v="1997-07-11T00:00:00"/>
    <s v="Sevilla"/>
    <n v="4"/>
    <n v="0"/>
    <n v="0"/>
    <n v="0.77"/>
    <n v="0.77"/>
    <n v="2.31"/>
    <n v="5.39"/>
  </r>
  <r>
    <x v="6"/>
    <x v="0"/>
    <n v="2"/>
    <d v="1997-09-30T00:00:00"/>
    <s v="Villarreal"/>
    <n v="1"/>
    <n v="0"/>
    <n v="0"/>
    <n v="0"/>
    <n v="0"/>
    <n v="0"/>
    <n v="0"/>
  </r>
  <r>
    <x v="7"/>
    <x v="0"/>
    <n v="13"/>
    <d v="1998-02-23T00:00:00"/>
    <s v="Tottenham"/>
    <n v="7"/>
    <n v="0"/>
    <n v="0"/>
    <n v="0.16"/>
    <n v="0.49"/>
    <n v="0.82"/>
    <n v="5.09"/>
  </r>
  <r>
    <x v="8"/>
    <x v="0"/>
    <n v="25"/>
    <d v="1997-10-09T00:00:00"/>
    <s v="Manchester United"/>
    <n v="5"/>
    <n v="0"/>
    <n v="0"/>
    <n v="0.3"/>
    <n v="0.9"/>
    <n v="1.5"/>
    <n v="4.1900000000000004"/>
  </r>
  <r>
    <x v="9"/>
    <x v="1"/>
    <n v="5"/>
    <d v="1992-09-25T00:00:00"/>
    <s v="Juventus"/>
    <n v="5"/>
    <n v="0"/>
    <n v="0"/>
    <n v="0.4"/>
    <n v="1.21"/>
    <n v="4.0199999999999996"/>
    <n v="9.24"/>
  </r>
  <r>
    <x v="10"/>
    <x v="1"/>
    <n v="7"/>
    <d v="1992-06-17T00:00:00"/>
    <s v="Atletico Madrid"/>
    <n v="7"/>
    <n v="0"/>
    <n v="0"/>
    <n v="0.6"/>
    <n v="1.05"/>
    <n v="1.79"/>
    <n v="4.6399999999999997"/>
  </r>
  <r>
    <x v="11"/>
    <x v="1"/>
    <n v="18"/>
    <d v="1992-05-18T00:00:00"/>
    <s v="Real Betis"/>
    <n v="1"/>
    <n v="0"/>
    <n v="0"/>
    <n v="0"/>
    <n v="0"/>
    <n v="3.16"/>
    <n v="6.32"/>
  </r>
  <r>
    <x v="12"/>
    <x v="1"/>
    <n v="14"/>
    <d v="1998-07-01T00:00:00"/>
    <s v="Bayer Leverkusen"/>
    <n v="3"/>
    <n v="0"/>
    <n v="0"/>
    <n v="0"/>
    <n v="3.83"/>
    <n v="1.91"/>
    <n v="7.66"/>
  </r>
  <r>
    <x v="13"/>
    <x v="1"/>
    <n v="20"/>
    <d v="1998-07-23T00:00:00"/>
    <s v="Brighton"/>
    <n v="6"/>
    <n v="1"/>
    <n v="1"/>
    <n v="0.97"/>
    <n v="0.49"/>
    <n v="1.46"/>
    <n v="5.85"/>
  </r>
  <r>
    <x v="14"/>
    <x v="1"/>
    <n v="24"/>
    <d v="2001-03-07T00:00:00"/>
    <s v="Benfica"/>
    <n v="7"/>
    <n v="1"/>
    <n v="1"/>
    <n v="0.8"/>
    <n v="0.48"/>
    <n v="3.52"/>
    <n v="7.83"/>
  </r>
  <r>
    <x v="15"/>
    <x v="1"/>
    <n v="17"/>
    <d v="2001-03-26T00:00:00"/>
    <s v="Atlanta United"/>
    <n v="2"/>
    <n v="0"/>
    <n v="0"/>
    <n v="0.83"/>
    <n v="0.83"/>
    <n v="1.65"/>
    <n v="8.26"/>
  </r>
  <r>
    <x v="16"/>
    <x v="2"/>
    <n v="10"/>
    <d v="1987-01-13T00:00:00"/>
    <s v="PSG"/>
    <n v="7"/>
    <n v="7"/>
    <n v="3"/>
    <n v="3.78"/>
    <n v="0"/>
    <n v="0.65"/>
    <n v="6.39"/>
  </r>
  <r>
    <x v="17"/>
    <x v="2"/>
    <n v="22"/>
    <d v="1998-04-12T00:00:00"/>
    <s v="Inter"/>
    <n v="6"/>
    <n v="0"/>
    <n v="0"/>
    <n v="1.89"/>
    <n v="0.38"/>
    <n v="0"/>
    <n v="6.81"/>
  </r>
  <r>
    <x v="18"/>
    <x v="2"/>
    <n v="21"/>
    <d v="1991-04-09T00:00:00"/>
    <s v="Roma"/>
    <n v="2"/>
    <n v="0"/>
    <n v="0"/>
    <n v="5.62"/>
    <n v="0"/>
    <n v="0"/>
    <n v="0"/>
  </r>
  <r>
    <x v="19"/>
    <x v="2"/>
    <n v="16"/>
    <d v="2001-03-26T00:00:00"/>
    <s v="Inter"/>
    <n v="1"/>
    <n v="0"/>
    <n v="0"/>
    <n v="0"/>
    <n v="0"/>
    <n v="0"/>
    <n v="0"/>
  </r>
  <r>
    <x v="20"/>
    <x v="2"/>
    <n v="9"/>
    <d v="2000-02-10T00:00:00"/>
    <s v="Manchester City"/>
    <n v="7"/>
    <n v="4"/>
    <n v="0"/>
    <n v="0.57999999999999996"/>
    <n v="0"/>
    <n v="0.77"/>
    <n v="1.93"/>
  </r>
  <r>
    <x v="21"/>
    <x v="2"/>
    <n v="11"/>
    <d v="1989-07-16T00:00:00"/>
    <s v="Juventus"/>
    <n v="5"/>
    <n v="1"/>
    <n v="1"/>
    <n v="6.83"/>
    <n v="0.31"/>
    <n v="0.93"/>
    <n v="7.14"/>
  </r>
  <r>
    <x v="22"/>
    <x v="2"/>
    <n v="15"/>
    <d v="1995-07-28T00:00:00"/>
    <s v="Atletico Madrid"/>
    <n v="1"/>
    <n v="0"/>
    <n v="0"/>
    <n v="0"/>
    <n v="0"/>
    <n v="0"/>
    <n v="0"/>
  </r>
  <r>
    <x v="23"/>
    <x v="3"/>
    <n v="23"/>
    <d v="1991-05-07T00:00:00"/>
    <s v="Aston Villa"/>
    <n v="7"/>
    <n v="0"/>
    <n v="0"/>
    <n v="0"/>
    <n v="0"/>
    <n v="0"/>
    <n v="0.65"/>
  </r>
  <r>
    <x v="24"/>
    <x v="3"/>
    <n v="1"/>
    <d v="1987-05-29T00:00:00"/>
    <s v="River"/>
    <n v="0"/>
    <n v="0"/>
    <n v="0"/>
    <n v="0"/>
    <n v="0"/>
    <n v="0"/>
    <n v="0"/>
  </r>
  <r>
    <x v="25"/>
    <x v="3"/>
    <n v="12"/>
    <d v="1991-07-15T00:00:00"/>
    <s v="Villarreal"/>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66CA1-F563-4769-9DB0-8F850969E14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2">
    <pivotField showAll="0"/>
    <pivotField showAll="0"/>
    <pivotField showAll="0"/>
    <pivotField numFmtId="14" showAll="0"/>
    <pivotField axis="axisRow" showAll="0">
      <items count="19">
        <item x="16"/>
        <item x="11"/>
        <item x="4"/>
        <item x="9"/>
        <item x="0"/>
        <item x="10"/>
        <item x="13"/>
        <item x="8"/>
        <item x="2"/>
        <item x="15"/>
        <item x="7"/>
        <item x="12"/>
        <item x="3"/>
        <item x="17"/>
        <item x="14"/>
        <item x="1"/>
        <item x="6"/>
        <item x="5"/>
        <item t="default"/>
      </items>
    </pivotField>
    <pivotField showAll="0"/>
    <pivotField showAll="0"/>
    <pivotField showAll="0"/>
    <pivotField showAll="0"/>
    <pivotField showAll="0"/>
    <pivotField dataField="1" showAll="0"/>
    <pivotField showAll="0"/>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ackles per 90 M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95765-3AFB-4C93-A1DF-314BA619E3F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pivotField numFmtId="14"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F10C6C-5B1C-4F0A-A2FD-A342C5228AB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2">
    <pivotField dataField="1" showAll="0">
      <items count="27">
        <item x="15"/>
        <item x="13"/>
        <item x="22"/>
        <item x="21"/>
        <item x="7"/>
        <item x="23"/>
        <item x="14"/>
        <item x="12"/>
        <item x="24"/>
        <item x="3"/>
        <item x="25"/>
        <item x="5"/>
        <item x="11"/>
        <item x="6"/>
        <item x="20"/>
        <item x="17"/>
        <item x="9"/>
        <item x="16"/>
        <item x="8"/>
        <item x="1"/>
        <item x="4"/>
        <item x="0"/>
        <item x="2"/>
        <item x="18"/>
        <item x="10"/>
        <item x="19"/>
        <item t="default"/>
      </items>
    </pivotField>
    <pivotField axis="axisRow" showAll="0">
      <items count="5">
        <item x="0"/>
        <item x="2"/>
        <item x="3"/>
        <item x="1"/>
        <item t="default"/>
      </items>
    </pivotField>
    <pivotField showAll="0"/>
    <pivotField numFmtId="14"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Player Name "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422A83-72CB-40CA-ADA0-7A9B577DAF3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0" firstHeaderRow="1" firstDataRow="1" firstDataCol="1"/>
  <pivotFields count="12">
    <pivotField axis="axisRow" showAll="0">
      <items count="27">
        <item x="15"/>
        <item x="13"/>
        <item x="22"/>
        <item x="21"/>
        <item x="7"/>
        <item x="23"/>
        <item x="14"/>
        <item x="12"/>
        <item x="24"/>
        <item x="3"/>
        <item x="25"/>
        <item x="5"/>
        <item x="11"/>
        <item x="6"/>
        <item x="20"/>
        <item x="17"/>
        <item x="9"/>
        <item x="16"/>
        <item x="8"/>
        <item x="1"/>
        <item x="4"/>
        <item x="0"/>
        <item x="2"/>
        <item x="18"/>
        <item x="10"/>
        <item x="19"/>
        <item t="default"/>
      </items>
    </pivotField>
    <pivotField showAll="0"/>
    <pivotField showAll="0"/>
    <pivotField numFmtId="14" showAll="0"/>
    <pivotField showAll="0"/>
    <pivotField showAll="0"/>
    <pivotField showAll="0"/>
    <pivotField showAll="0"/>
    <pivotField showAll="0"/>
    <pivotField showAll="0"/>
    <pivotField dataField="1" showAll="0"/>
    <pivotField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ackles per 90 Min"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6F0D20-49C3-4FD8-B4EA-764B0C5A312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7" firstHeaderRow="1" firstDataRow="1" firstDataCol="1"/>
  <pivotFields count="12">
    <pivotField showAll="0"/>
    <pivotField axis="axisRow" showAll="0">
      <items count="5">
        <item x="0"/>
        <item x="2"/>
        <item x="3"/>
        <item x="1"/>
        <item t="default"/>
      </items>
    </pivotField>
    <pivotField showAll="0"/>
    <pivotField numFmtId="14" showAll="0"/>
    <pivotField showAll="0">
      <items count="19">
        <item x="16"/>
        <item x="11"/>
        <item x="4"/>
        <item x="9"/>
        <item x="0"/>
        <item x="10"/>
        <item x="13"/>
        <item x="8"/>
        <item x="2"/>
        <item x="15"/>
        <item x="7"/>
        <item x="12"/>
        <item x="3"/>
        <item x="17"/>
        <item x="14"/>
        <item x="1"/>
        <item x="6"/>
        <item x="5"/>
        <item t="default"/>
      </items>
    </pivotField>
    <pivotField showAll="0"/>
    <pivotField dataField="1" showAll="0"/>
    <pivotField showAll="0"/>
    <pivotField showAll="0"/>
    <pivotField showAll="0"/>
    <pivotField showAll="0"/>
    <pivotField showAll="0"/>
  </pivotFields>
  <rowFields count="1">
    <field x="1"/>
  </rowFields>
  <rowItems count="4">
    <i>
      <x/>
    </i>
    <i>
      <x v="1"/>
    </i>
    <i>
      <x v="2"/>
    </i>
    <i>
      <x v="3"/>
    </i>
  </rowItems>
  <colItems count="1">
    <i/>
  </colItems>
  <dataFields count="1">
    <dataField name="Sum of Goals Scored " fld="6" baseField="0" baseItem="0"/>
  </dataFields>
  <chartFormats count="2">
    <chartFormat chart="11"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4F3A7CCB-D68A-4EDD-A35C-2D2095CEE5BD}" sourceName="Position">
  <pivotTables>
    <pivotTable tabId="8" name="PivotTable1"/>
  </pivotTables>
  <data>
    <tabular pivotCacheId="17512839">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68D33263-3853-4804-AB81-BC4304A61A66}" cache="Slicer_Position" caption="Posit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E57F-F21F-460E-ABD8-AE7D84EFB999}">
  <dimension ref="A3:B22"/>
  <sheetViews>
    <sheetView workbookViewId="0">
      <selection activeCell="A3" sqref="A3"/>
    </sheetView>
  </sheetViews>
  <sheetFormatPr defaultRowHeight="14.5" x14ac:dyDescent="0.35"/>
  <cols>
    <col min="1" max="1" width="16.26953125" bestFit="1" customWidth="1"/>
    <col min="2" max="2" width="22.54296875" bestFit="1" customWidth="1"/>
  </cols>
  <sheetData>
    <row r="3" spans="1:2" x14ac:dyDescent="0.35">
      <c r="A3" s="18" t="s">
        <v>69</v>
      </c>
      <c r="B3" t="s">
        <v>72</v>
      </c>
    </row>
    <row r="4" spans="1:2" x14ac:dyDescent="0.35">
      <c r="A4" s="19" t="s">
        <v>58</v>
      </c>
      <c r="B4">
        <v>0</v>
      </c>
    </row>
    <row r="5" spans="1:2" x14ac:dyDescent="0.35">
      <c r="A5" s="19" t="s">
        <v>43</v>
      </c>
      <c r="B5">
        <v>1.65</v>
      </c>
    </row>
    <row r="6" spans="1:2" x14ac:dyDescent="0.35">
      <c r="A6" s="19" t="s">
        <v>24</v>
      </c>
      <c r="B6">
        <v>3.21</v>
      </c>
    </row>
    <row r="7" spans="1:2" x14ac:dyDescent="0.35">
      <c r="A7" s="19" t="s">
        <v>38</v>
      </c>
      <c r="B7">
        <v>1.91</v>
      </c>
    </row>
    <row r="8" spans="1:2" x14ac:dyDescent="0.35">
      <c r="A8" s="19" t="s">
        <v>16</v>
      </c>
      <c r="B8">
        <v>4.82</v>
      </c>
    </row>
    <row r="9" spans="1:2" x14ac:dyDescent="0.35">
      <c r="A9" s="19" t="s">
        <v>40</v>
      </c>
      <c r="B9">
        <v>1.46</v>
      </c>
    </row>
    <row r="10" spans="1:2" x14ac:dyDescent="0.35">
      <c r="A10" s="19" t="s">
        <v>48</v>
      </c>
      <c r="B10">
        <v>0</v>
      </c>
    </row>
    <row r="11" spans="1:2" x14ac:dyDescent="0.35">
      <c r="A11" s="19" t="s">
        <v>34</v>
      </c>
      <c r="B11">
        <v>4.9499999999999993</v>
      </c>
    </row>
    <row r="12" spans="1:2" x14ac:dyDescent="0.35">
      <c r="A12" s="19" t="s">
        <v>20</v>
      </c>
      <c r="B12">
        <v>1.69</v>
      </c>
    </row>
    <row r="13" spans="1:2" x14ac:dyDescent="0.35">
      <c r="A13" s="19" t="s">
        <v>53</v>
      </c>
      <c r="B13">
        <v>0.77</v>
      </c>
    </row>
    <row r="14" spans="1:2" x14ac:dyDescent="0.35">
      <c r="A14" s="19" t="s">
        <v>31</v>
      </c>
      <c r="B14">
        <v>1.5</v>
      </c>
    </row>
    <row r="15" spans="1:2" x14ac:dyDescent="0.35">
      <c r="A15" s="19" t="s">
        <v>46</v>
      </c>
      <c r="B15">
        <v>0.65</v>
      </c>
    </row>
    <row r="16" spans="1:2" x14ac:dyDescent="0.35">
      <c r="A16" s="19" t="s">
        <v>22</v>
      </c>
      <c r="B16">
        <v>3.16</v>
      </c>
    </row>
    <row r="17" spans="1:2" x14ac:dyDescent="0.35">
      <c r="A17" s="19" t="s">
        <v>60</v>
      </c>
      <c r="B17">
        <v>0</v>
      </c>
    </row>
    <row r="18" spans="1:2" x14ac:dyDescent="0.35">
      <c r="A18" s="19" t="s">
        <v>50</v>
      </c>
      <c r="B18">
        <v>0</v>
      </c>
    </row>
    <row r="19" spans="1:2" x14ac:dyDescent="0.35">
      <c r="A19" s="19" t="s">
        <v>18</v>
      </c>
      <c r="B19">
        <v>5.21</v>
      </c>
    </row>
    <row r="20" spans="1:2" x14ac:dyDescent="0.35">
      <c r="A20" s="19" t="s">
        <v>29</v>
      </c>
      <c r="B20">
        <v>0.82</v>
      </c>
    </row>
    <row r="21" spans="1:2" x14ac:dyDescent="0.35">
      <c r="A21" s="19" t="s">
        <v>27</v>
      </c>
      <c r="B21">
        <v>0</v>
      </c>
    </row>
    <row r="22" spans="1:2" x14ac:dyDescent="0.35">
      <c r="A22" s="19" t="s">
        <v>70</v>
      </c>
      <c r="B22">
        <v>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BEE4-EDCF-4A94-A140-41354EE36332}">
  <dimension ref="A3:C20"/>
  <sheetViews>
    <sheetView workbookViewId="0">
      <selection activeCell="C9" sqref="C9"/>
    </sheetView>
  </sheetViews>
  <sheetFormatPr defaultRowHeight="14.5" x14ac:dyDescent="0.35"/>
  <sheetData>
    <row r="3" spans="1:3" x14ac:dyDescent="0.35">
      <c r="A3" s="8"/>
      <c r="B3" s="9"/>
      <c r="C3" s="10"/>
    </row>
    <row r="4" spans="1:3" x14ac:dyDescent="0.35">
      <c r="A4" s="11"/>
      <c r="B4" s="12"/>
      <c r="C4" s="13"/>
    </row>
    <row r="5" spans="1:3" x14ac:dyDescent="0.35">
      <c r="A5" s="11"/>
      <c r="B5" s="12"/>
      <c r="C5" s="13"/>
    </row>
    <row r="6" spans="1:3" x14ac:dyDescent="0.35">
      <c r="A6" s="11"/>
      <c r="B6" s="12"/>
      <c r="C6" s="13"/>
    </row>
    <row r="7" spans="1:3" x14ac:dyDescent="0.35">
      <c r="A7" s="11"/>
      <c r="B7" s="12"/>
      <c r="C7" s="13"/>
    </row>
    <row r="8" spans="1:3" x14ac:dyDescent="0.35">
      <c r="A8" s="11"/>
      <c r="B8" s="12"/>
      <c r="C8" s="13"/>
    </row>
    <row r="9" spans="1:3" x14ac:dyDescent="0.35">
      <c r="A9" s="11"/>
      <c r="B9" s="12"/>
      <c r="C9" s="13"/>
    </row>
    <row r="10" spans="1:3" x14ac:dyDescent="0.35">
      <c r="A10" s="11"/>
      <c r="B10" s="12"/>
      <c r="C10" s="13"/>
    </row>
    <row r="11" spans="1:3" x14ac:dyDescent="0.35">
      <c r="A11" s="11"/>
      <c r="B11" s="12"/>
      <c r="C11" s="13"/>
    </row>
    <row r="12" spans="1:3" x14ac:dyDescent="0.35">
      <c r="A12" s="11"/>
      <c r="B12" s="12"/>
      <c r="C12" s="13"/>
    </row>
    <row r="13" spans="1:3" x14ac:dyDescent="0.35">
      <c r="A13" s="11"/>
      <c r="B13" s="12"/>
      <c r="C13" s="13"/>
    </row>
    <row r="14" spans="1:3" x14ac:dyDescent="0.35">
      <c r="A14" s="11"/>
      <c r="B14" s="12"/>
      <c r="C14" s="13"/>
    </row>
    <row r="15" spans="1:3" x14ac:dyDescent="0.35">
      <c r="A15" s="11"/>
      <c r="B15" s="12"/>
      <c r="C15" s="13"/>
    </row>
    <row r="16" spans="1:3" x14ac:dyDescent="0.35">
      <c r="A16" s="11"/>
      <c r="B16" s="12"/>
      <c r="C16" s="13"/>
    </row>
    <row r="17" spans="1:3" x14ac:dyDescent="0.35">
      <c r="A17" s="11"/>
      <c r="B17" s="12"/>
      <c r="C17" s="13"/>
    </row>
    <row r="18" spans="1:3" x14ac:dyDescent="0.35">
      <c r="A18" s="11"/>
      <c r="B18" s="12"/>
      <c r="C18" s="13"/>
    </row>
    <row r="19" spans="1:3" x14ac:dyDescent="0.35">
      <c r="A19" s="11"/>
      <c r="B19" s="12"/>
      <c r="C19" s="13"/>
    </row>
    <row r="20" spans="1:3" x14ac:dyDescent="0.35">
      <c r="A20" s="14"/>
      <c r="B20" s="15"/>
      <c r="C2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92E7-A791-4673-84D1-DFC86B08631D}">
  <dimension ref="A3:B8"/>
  <sheetViews>
    <sheetView workbookViewId="0">
      <selection activeCell="A7" sqref="A7"/>
    </sheetView>
  </sheetViews>
  <sheetFormatPr defaultRowHeight="14.5" x14ac:dyDescent="0.35"/>
  <cols>
    <col min="1" max="1" width="12.453125" bestFit="1" customWidth="1"/>
    <col min="2" max="2" width="19.26953125" bestFit="1" customWidth="1"/>
  </cols>
  <sheetData>
    <row r="3" spans="1:2" x14ac:dyDescent="0.35">
      <c r="A3" s="18" t="s">
        <v>69</v>
      </c>
      <c r="B3" t="s">
        <v>73</v>
      </c>
    </row>
    <row r="4" spans="1:2" x14ac:dyDescent="0.35">
      <c r="A4" s="19" t="s">
        <v>15</v>
      </c>
      <c r="B4" s="22">
        <v>9</v>
      </c>
    </row>
    <row r="5" spans="1:2" x14ac:dyDescent="0.35">
      <c r="A5" s="19" t="s">
        <v>45</v>
      </c>
      <c r="B5" s="22">
        <v>7</v>
      </c>
    </row>
    <row r="6" spans="1:2" x14ac:dyDescent="0.35">
      <c r="A6" s="19" t="s">
        <v>57</v>
      </c>
      <c r="B6" s="22">
        <v>3</v>
      </c>
    </row>
    <row r="7" spans="1:2" x14ac:dyDescent="0.35">
      <c r="A7" s="19" t="s">
        <v>33</v>
      </c>
      <c r="B7" s="22">
        <v>7</v>
      </c>
    </row>
    <row r="8" spans="1:2" x14ac:dyDescent="0.35">
      <c r="A8" s="19" t="s">
        <v>70</v>
      </c>
      <c r="B8" s="22">
        <v>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3C80-D4F5-4AB5-93FD-74E7BD1F7752}">
  <dimension ref="A3:B30"/>
  <sheetViews>
    <sheetView workbookViewId="0">
      <selection activeCell="A11" sqref="A11"/>
    </sheetView>
  </sheetViews>
  <sheetFormatPr defaultRowHeight="14.5" x14ac:dyDescent="0.35"/>
  <cols>
    <col min="1" max="1" width="15.453125" bestFit="1" customWidth="1"/>
    <col min="2" max="2" width="22.54296875" bestFit="1" customWidth="1"/>
  </cols>
  <sheetData>
    <row r="3" spans="1:2" x14ac:dyDescent="0.35">
      <c r="A3" s="18" t="s">
        <v>69</v>
      </c>
      <c r="B3" t="s">
        <v>72</v>
      </c>
    </row>
    <row r="4" spans="1:2" x14ac:dyDescent="0.35">
      <c r="A4" s="19" t="s">
        <v>42</v>
      </c>
      <c r="B4" s="22">
        <v>1.65</v>
      </c>
    </row>
    <row r="5" spans="1:2" x14ac:dyDescent="0.35">
      <c r="A5" s="19" t="s">
        <v>39</v>
      </c>
      <c r="B5" s="22">
        <v>1.46</v>
      </c>
    </row>
    <row r="6" spans="1:2" x14ac:dyDescent="0.35">
      <c r="A6" s="19" t="s">
        <v>55</v>
      </c>
      <c r="B6" s="22">
        <v>0</v>
      </c>
    </row>
    <row r="7" spans="1:2" x14ac:dyDescent="0.35">
      <c r="A7" s="19" t="s">
        <v>54</v>
      </c>
      <c r="B7" s="22">
        <v>0.93</v>
      </c>
    </row>
    <row r="8" spans="1:2" x14ac:dyDescent="0.35">
      <c r="A8" s="19" t="s">
        <v>28</v>
      </c>
      <c r="B8" s="22">
        <v>0.82</v>
      </c>
    </row>
    <row r="9" spans="1:2" x14ac:dyDescent="0.35">
      <c r="A9" s="19" t="s">
        <v>56</v>
      </c>
      <c r="B9" s="22">
        <v>0</v>
      </c>
    </row>
    <row r="10" spans="1:2" x14ac:dyDescent="0.35">
      <c r="A10" s="19" t="s">
        <v>41</v>
      </c>
      <c r="B10" s="22">
        <v>3.52</v>
      </c>
    </row>
    <row r="11" spans="1:2" x14ac:dyDescent="0.35">
      <c r="A11" s="19" t="s">
        <v>37</v>
      </c>
      <c r="B11" s="22">
        <v>1.91</v>
      </c>
    </row>
    <row r="12" spans="1:2" x14ac:dyDescent="0.35">
      <c r="A12" s="19" t="s">
        <v>59</v>
      </c>
      <c r="B12" s="22">
        <v>0</v>
      </c>
    </row>
    <row r="13" spans="1:2" x14ac:dyDescent="0.35">
      <c r="A13" s="19" t="s">
        <v>21</v>
      </c>
      <c r="B13" s="22">
        <v>0</v>
      </c>
    </row>
    <row r="14" spans="1:2" x14ac:dyDescent="0.35">
      <c r="A14" s="19" t="s">
        <v>61</v>
      </c>
      <c r="B14" s="22">
        <v>0</v>
      </c>
    </row>
    <row r="15" spans="1:2" x14ac:dyDescent="0.35">
      <c r="A15" s="19" t="s">
        <v>25</v>
      </c>
      <c r="B15" s="22">
        <v>2.31</v>
      </c>
    </row>
    <row r="16" spans="1:2" x14ac:dyDescent="0.35">
      <c r="A16" s="19" t="s">
        <v>36</v>
      </c>
      <c r="B16" s="22">
        <v>3.16</v>
      </c>
    </row>
    <row r="17" spans="1:2" x14ac:dyDescent="0.35">
      <c r="A17" s="19" t="s">
        <v>26</v>
      </c>
      <c r="B17" s="22">
        <v>0</v>
      </c>
    </row>
    <row r="18" spans="1:2" x14ac:dyDescent="0.35">
      <c r="A18" s="19" t="s">
        <v>52</v>
      </c>
      <c r="B18" s="22">
        <v>0.77</v>
      </c>
    </row>
    <row r="19" spans="1:2" x14ac:dyDescent="0.35">
      <c r="A19" s="19" t="s">
        <v>47</v>
      </c>
      <c r="B19" s="22">
        <v>0</v>
      </c>
    </row>
    <row r="20" spans="1:2" x14ac:dyDescent="0.35">
      <c r="A20" s="19" t="s">
        <v>32</v>
      </c>
      <c r="B20" s="22">
        <v>4.0199999999999996</v>
      </c>
    </row>
    <row r="21" spans="1:2" x14ac:dyDescent="0.35">
      <c r="A21" s="19" t="s">
        <v>44</v>
      </c>
      <c r="B21" s="22">
        <v>0.65</v>
      </c>
    </row>
    <row r="22" spans="1:2" x14ac:dyDescent="0.35">
      <c r="A22" s="19" t="s">
        <v>30</v>
      </c>
      <c r="B22" s="22">
        <v>1.5</v>
      </c>
    </row>
    <row r="23" spans="1:2" x14ac:dyDescent="0.35">
      <c r="A23" s="19" t="s">
        <v>17</v>
      </c>
      <c r="B23" s="22">
        <v>2.9</v>
      </c>
    </row>
    <row r="24" spans="1:2" x14ac:dyDescent="0.35">
      <c r="A24" s="19" t="s">
        <v>23</v>
      </c>
      <c r="B24" s="22">
        <v>1.42</v>
      </c>
    </row>
    <row r="25" spans="1:2" x14ac:dyDescent="0.35">
      <c r="A25" s="19" t="s">
        <v>14</v>
      </c>
      <c r="B25" s="22">
        <v>1.3</v>
      </c>
    </row>
    <row r="26" spans="1:2" x14ac:dyDescent="0.35">
      <c r="A26" s="19" t="s">
        <v>19</v>
      </c>
      <c r="B26" s="22">
        <v>1.69</v>
      </c>
    </row>
    <row r="27" spans="1:2" x14ac:dyDescent="0.35">
      <c r="A27" s="19" t="s">
        <v>49</v>
      </c>
      <c r="B27" s="22">
        <v>0</v>
      </c>
    </row>
    <row r="28" spans="1:2" x14ac:dyDescent="0.35">
      <c r="A28" s="19" t="s">
        <v>35</v>
      </c>
      <c r="B28" s="22">
        <v>1.79</v>
      </c>
    </row>
    <row r="29" spans="1:2" x14ac:dyDescent="0.35">
      <c r="A29" s="19" t="s">
        <v>51</v>
      </c>
      <c r="B29" s="22">
        <v>0</v>
      </c>
    </row>
    <row r="30" spans="1:2" x14ac:dyDescent="0.35">
      <c r="A30" s="19" t="s">
        <v>70</v>
      </c>
      <c r="B30" s="22">
        <v>31.799999999999997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2360-37C3-46A2-9163-75DD9A921193}">
  <dimension ref="B2:M32"/>
  <sheetViews>
    <sheetView showGridLines="0" topLeftCell="B6" workbookViewId="0">
      <selection activeCell="B6" sqref="B6:M32"/>
    </sheetView>
  </sheetViews>
  <sheetFormatPr defaultColWidth="8.90625" defaultRowHeight="14.5" x14ac:dyDescent="0.35"/>
  <cols>
    <col min="1" max="1" width="5.08984375" style="2" customWidth="1"/>
    <col min="2" max="2" width="17.54296875" style="2" bestFit="1" customWidth="1"/>
    <col min="3" max="3" width="9.54296875" style="2" customWidth="1"/>
    <col min="4" max="4" width="10.08984375" style="2" customWidth="1"/>
    <col min="5" max="5" width="12.54296875" style="2" customWidth="1"/>
    <col min="6" max="6" width="17.6328125" style="2" customWidth="1"/>
    <col min="7" max="7" width="14.36328125" style="2" bestFit="1" customWidth="1"/>
    <col min="8" max="8" width="10" style="2" customWidth="1"/>
    <col min="9" max="9" width="12.453125" style="2" customWidth="1"/>
    <col min="10" max="10" width="12.36328125" style="2" customWidth="1"/>
    <col min="11" max="11" width="14.90625" style="2" customWidth="1"/>
    <col min="12" max="12" width="13.453125" style="2" bestFit="1" customWidth="1"/>
    <col min="13" max="13" width="17.36328125" style="2" customWidth="1"/>
    <col min="14" max="16384" width="8.90625" style="2"/>
  </cols>
  <sheetData>
    <row r="2" spans="2:13" ht="19" thickBot="1" x14ac:dyDescent="0.4">
      <c r="B2" s="1" t="s">
        <v>0</v>
      </c>
      <c r="C2" s="1"/>
      <c r="D2" s="1"/>
      <c r="E2" s="1"/>
      <c r="F2" s="1"/>
      <c r="G2" s="1"/>
      <c r="H2" s="1"/>
      <c r="I2" s="1"/>
      <c r="J2" s="1"/>
      <c r="K2" s="1"/>
      <c r="L2" s="1"/>
      <c r="M2" s="1"/>
    </row>
    <row r="4" spans="2:13" ht="19" thickBot="1" x14ac:dyDescent="0.4">
      <c r="B4" s="1" t="s">
        <v>1</v>
      </c>
      <c r="C4" s="1"/>
      <c r="D4" s="1"/>
      <c r="E4" s="1"/>
      <c r="F4" s="1"/>
      <c r="G4" s="1"/>
      <c r="H4" s="1"/>
      <c r="I4" s="1"/>
      <c r="J4" s="1"/>
      <c r="K4" s="1"/>
      <c r="L4" s="1"/>
      <c r="M4" s="1"/>
    </row>
    <row r="6" spans="2:13" ht="33.75" customHeight="1" x14ac:dyDescent="0.35">
      <c r="B6" s="3" t="s">
        <v>2</v>
      </c>
      <c r="C6" s="3" t="s">
        <v>3</v>
      </c>
      <c r="D6" s="4" t="s">
        <v>4</v>
      </c>
      <c r="E6" s="3" t="s">
        <v>5</v>
      </c>
      <c r="F6" s="3" t="s">
        <v>6</v>
      </c>
      <c r="G6" s="4" t="s">
        <v>7</v>
      </c>
      <c r="H6" s="4" t="s">
        <v>8</v>
      </c>
      <c r="I6" s="4" t="s">
        <v>9</v>
      </c>
      <c r="J6" s="4" t="s">
        <v>10</v>
      </c>
      <c r="K6" s="4" t="s">
        <v>11</v>
      </c>
      <c r="L6" s="4" t="s">
        <v>12</v>
      </c>
      <c r="M6" s="4" t="s">
        <v>13</v>
      </c>
    </row>
    <row r="7" spans="2:13" x14ac:dyDescent="0.35">
      <c r="B7" s="5" t="s">
        <v>14</v>
      </c>
      <c r="C7" s="5" t="s">
        <v>15</v>
      </c>
      <c r="D7" s="5">
        <v>19</v>
      </c>
      <c r="E7" s="6">
        <v>32702</v>
      </c>
      <c r="F7" s="5" t="s">
        <v>16</v>
      </c>
      <c r="G7" s="5">
        <v>7</v>
      </c>
      <c r="H7" s="5">
        <v>0</v>
      </c>
      <c r="I7" s="5">
        <v>1</v>
      </c>
      <c r="J7" s="5">
        <v>0.33</v>
      </c>
      <c r="K7" s="5">
        <v>1.17</v>
      </c>
      <c r="L7" s="5">
        <v>1.3</v>
      </c>
      <c r="M7" s="5">
        <v>7.17</v>
      </c>
    </row>
    <row r="8" spans="2:13" x14ac:dyDescent="0.35">
      <c r="B8" s="5" t="s">
        <v>17</v>
      </c>
      <c r="C8" s="5" t="s">
        <v>15</v>
      </c>
      <c r="D8" s="5">
        <v>8</v>
      </c>
      <c r="E8" s="6">
        <v>33313</v>
      </c>
      <c r="F8" s="5" t="s">
        <v>18</v>
      </c>
      <c r="G8" s="5">
        <v>6</v>
      </c>
      <c r="H8" s="5">
        <v>0</v>
      </c>
      <c r="I8" s="5">
        <v>0</v>
      </c>
      <c r="J8" s="5">
        <v>1.45</v>
      </c>
      <c r="K8" s="5">
        <v>0.48</v>
      </c>
      <c r="L8" s="5">
        <v>2.9</v>
      </c>
      <c r="M8" s="5">
        <v>7.97</v>
      </c>
    </row>
    <row r="9" spans="2:13" x14ac:dyDescent="0.35">
      <c r="B9" s="5" t="s">
        <v>19</v>
      </c>
      <c r="C9" s="5" t="s">
        <v>15</v>
      </c>
      <c r="D9" s="5">
        <v>3</v>
      </c>
      <c r="E9" s="6">
        <v>33364</v>
      </c>
      <c r="F9" s="5" t="s">
        <v>20</v>
      </c>
      <c r="G9" s="5">
        <v>6</v>
      </c>
      <c r="H9" s="5">
        <v>0</v>
      </c>
      <c r="I9" s="5">
        <v>0</v>
      </c>
      <c r="J9" s="5">
        <v>0.48</v>
      </c>
      <c r="K9" s="5">
        <v>2.17</v>
      </c>
      <c r="L9" s="5">
        <v>1.69</v>
      </c>
      <c r="M9" s="5">
        <v>5.07</v>
      </c>
    </row>
    <row r="10" spans="2:13" x14ac:dyDescent="0.35">
      <c r="B10" s="5" t="s">
        <v>21</v>
      </c>
      <c r="C10" s="5" t="s">
        <v>15</v>
      </c>
      <c r="D10" s="5">
        <v>6</v>
      </c>
      <c r="E10" s="6">
        <v>33294</v>
      </c>
      <c r="F10" s="5" t="s">
        <v>22</v>
      </c>
      <c r="G10" s="5">
        <v>3</v>
      </c>
      <c r="H10" s="5">
        <v>0</v>
      </c>
      <c r="I10" s="5">
        <v>0</v>
      </c>
      <c r="J10" s="5">
        <v>0</v>
      </c>
      <c r="K10" s="5">
        <v>0</v>
      </c>
      <c r="L10" s="5">
        <v>0</v>
      </c>
      <c r="M10" s="5">
        <v>3.16</v>
      </c>
    </row>
    <row r="11" spans="2:13" x14ac:dyDescent="0.35">
      <c r="B11" s="5" t="s">
        <v>23</v>
      </c>
      <c r="C11" s="5" t="s">
        <v>15</v>
      </c>
      <c r="D11" s="5">
        <v>26</v>
      </c>
      <c r="E11" s="6">
        <v>35837</v>
      </c>
      <c r="F11" s="5" t="s">
        <v>24</v>
      </c>
      <c r="G11" s="5">
        <v>7</v>
      </c>
      <c r="H11" s="5">
        <v>1</v>
      </c>
      <c r="I11" s="5">
        <v>1</v>
      </c>
      <c r="J11" s="5">
        <v>0.32</v>
      </c>
      <c r="K11" s="5">
        <v>0.47</v>
      </c>
      <c r="L11" s="5">
        <v>1.42</v>
      </c>
      <c r="M11" s="5">
        <v>1.58</v>
      </c>
    </row>
    <row r="12" spans="2:13" x14ac:dyDescent="0.35">
      <c r="B12" s="5" t="s">
        <v>25</v>
      </c>
      <c r="C12" s="5" t="s">
        <v>15</v>
      </c>
      <c r="D12" s="5">
        <v>4</v>
      </c>
      <c r="E12" s="6">
        <v>35622</v>
      </c>
      <c r="F12" s="5" t="s">
        <v>18</v>
      </c>
      <c r="G12" s="5">
        <v>4</v>
      </c>
      <c r="H12" s="5">
        <v>0</v>
      </c>
      <c r="I12" s="5">
        <v>0</v>
      </c>
      <c r="J12" s="5">
        <v>0.77</v>
      </c>
      <c r="K12" s="5">
        <v>0.77</v>
      </c>
      <c r="L12" s="5">
        <v>2.31</v>
      </c>
      <c r="M12" s="5">
        <v>5.39</v>
      </c>
    </row>
    <row r="13" spans="2:13" x14ac:dyDescent="0.35">
      <c r="B13" s="5" t="s">
        <v>26</v>
      </c>
      <c r="C13" s="5" t="s">
        <v>15</v>
      </c>
      <c r="D13" s="5">
        <v>2</v>
      </c>
      <c r="E13" s="6">
        <v>35703</v>
      </c>
      <c r="F13" s="5" t="s">
        <v>27</v>
      </c>
      <c r="G13" s="5">
        <v>1</v>
      </c>
      <c r="H13" s="5">
        <v>0</v>
      </c>
      <c r="I13" s="5">
        <v>0</v>
      </c>
      <c r="J13" s="5">
        <v>0</v>
      </c>
      <c r="K13" s="5">
        <v>0</v>
      </c>
      <c r="L13" s="5">
        <v>0</v>
      </c>
      <c r="M13" s="5">
        <v>0</v>
      </c>
    </row>
    <row r="14" spans="2:13" x14ac:dyDescent="0.35">
      <c r="B14" s="5" t="s">
        <v>28</v>
      </c>
      <c r="C14" s="5" t="s">
        <v>15</v>
      </c>
      <c r="D14" s="5">
        <v>13</v>
      </c>
      <c r="E14" s="6">
        <v>35849</v>
      </c>
      <c r="F14" s="5" t="s">
        <v>29</v>
      </c>
      <c r="G14" s="5">
        <v>7</v>
      </c>
      <c r="H14" s="5">
        <v>0</v>
      </c>
      <c r="I14" s="5">
        <v>0</v>
      </c>
      <c r="J14" s="5">
        <v>0.16</v>
      </c>
      <c r="K14" s="5">
        <v>0.49</v>
      </c>
      <c r="L14" s="5">
        <v>0.82</v>
      </c>
      <c r="M14" s="5">
        <v>5.09</v>
      </c>
    </row>
    <row r="15" spans="2:13" x14ac:dyDescent="0.35">
      <c r="B15" s="5" t="s">
        <v>30</v>
      </c>
      <c r="C15" s="5" t="s">
        <v>15</v>
      </c>
      <c r="D15" s="5">
        <v>25</v>
      </c>
      <c r="E15" s="6">
        <v>35712</v>
      </c>
      <c r="F15" s="5" t="s">
        <v>31</v>
      </c>
      <c r="G15" s="5">
        <v>5</v>
      </c>
      <c r="H15" s="5">
        <v>0</v>
      </c>
      <c r="I15" s="5">
        <v>0</v>
      </c>
      <c r="J15" s="5">
        <v>0.3</v>
      </c>
      <c r="K15" s="5">
        <v>0.9</v>
      </c>
      <c r="L15" s="5">
        <v>1.5</v>
      </c>
      <c r="M15" s="5">
        <v>4.1900000000000004</v>
      </c>
    </row>
    <row r="16" spans="2:13" x14ac:dyDescent="0.35">
      <c r="B16" s="5" t="s">
        <v>32</v>
      </c>
      <c r="C16" s="5" t="s">
        <v>33</v>
      </c>
      <c r="D16" s="5">
        <v>5</v>
      </c>
      <c r="E16" s="6">
        <v>33872</v>
      </c>
      <c r="F16" s="5" t="s">
        <v>34</v>
      </c>
      <c r="G16" s="5">
        <v>5</v>
      </c>
      <c r="H16" s="5">
        <v>0</v>
      </c>
      <c r="I16" s="5">
        <v>0</v>
      </c>
      <c r="J16" s="5">
        <v>0.4</v>
      </c>
      <c r="K16" s="5">
        <v>1.21</v>
      </c>
      <c r="L16" s="5">
        <v>4.0199999999999996</v>
      </c>
      <c r="M16" s="5">
        <v>9.24</v>
      </c>
    </row>
    <row r="17" spans="2:13" x14ac:dyDescent="0.35">
      <c r="B17" s="5" t="s">
        <v>35</v>
      </c>
      <c r="C17" s="5" t="s">
        <v>33</v>
      </c>
      <c r="D17" s="5">
        <v>7</v>
      </c>
      <c r="E17" s="6">
        <v>33772</v>
      </c>
      <c r="F17" s="5" t="s">
        <v>24</v>
      </c>
      <c r="G17" s="5">
        <v>7</v>
      </c>
      <c r="H17" s="5">
        <v>0</v>
      </c>
      <c r="I17" s="5">
        <v>0</v>
      </c>
      <c r="J17" s="5">
        <v>0.6</v>
      </c>
      <c r="K17" s="5">
        <v>1.05</v>
      </c>
      <c r="L17" s="5">
        <v>1.79</v>
      </c>
      <c r="M17" s="5">
        <v>4.6399999999999997</v>
      </c>
    </row>
    <row r="18" spans="2:13" x14ac:dyDescent="0.35">
      <c r="B18" s="5" t="s">
        <v>36</v>
      </c>
      <c r="C18" s="5" t="s">
        <v>33</v>
      </c>
      <c r="D18" s="5">
        <v>18</v>
      </c>
      <c r="E18" s="6">
        <v>33742</v>
      </c>
      <c r="F18" s="5" t="s">
        <v>22</v>
      </c>
      <c r="G18" s="5">
        <v>1</v>
      </c>
      <c r="H18" s="5">
        <v>0</v>
      </c>
      <c r="I18" s="5">
        <v>0</v>
      </c>
      <c r="J18" s="5">
        <v>0</v>
      </c>
      <c r="K18" s="5">
        <v>0</v>
      </c>
      <c r="L18" s="5">
        <v>3.16</v>
      </c>
      <c r="M18" s="5">
        <v>6.32</v>
      </c>
    </row>
    <row r="19" spans="2:13" x14ac:dyDescent="0.35">
      <c r="B19" s="5" t="s">
        <v>37</v>
      </c>
      <c r="C19" s="5" t="s">
        <v>33</v>
      </c>
      <c r="D19" s="5">
        <v>14</v>
      </c>
      <c r="E19" s="6">
        <v>35977</v>
      </c>
      <c r="F19" s="5" t="s">
        <v>38</v>
      </c>
      <c r="G19" s="5">
        <v>3</v>
      </c>
      <c r="H19" s="5">
        <v>0</v>
      </c>
      <c r="I19" s="5">
        <v>0</v>
      </c>
      <c r="J19" s="5">
        <v>0</v>
      </c>
      <c r="K19" s="5">
        <v>3.83</v>
      </c>
      <c r="L19" s="5">
        <v>1.91</v>
      </c>
      <c r="M19" s="5">
        <v>7.66</v>
      </c>
    </row>
    <row r="20" spans="2:13" x14ac:dyDescent="0.35">
      <c r="B20" s="5" t="s">
        <v>39</v>
      </c>
      <c r="C20" s="5" t="s">
        <v>33</v>
      </c>
      <c r="D20" s="5">
        <v>20</v>
      </c>
      <c r="E20" s="6">
        <v>35999</v>
      </c>
      <c r="F20" s="5" t="s">
        <v>40</v>
      </c>
      <c r="G20" s="5">
        <v>6</v>
      </c>
      <c r="H20" s="5">
        <v>1</v>
      </c>
      <c r="I20" s="5">
        <v>1</v>
      </c>
      <c r="J20" s="5">
        <v>0.97</v>
      </c>
      <c r="K20" s="5">
        <v>0.49</v>
      </c>
      <c r="L20" s="5">
        <v>1.46</v>
      </c>
      <c r="M20" s="5">
        <v>5.85</v>
      </c>
    </row>
    <row r="21" spans="2:13" x14ac:dyDescent="0.35">
      <c r="B21" s="5" t="s">
        <v>41</v>
      </c>
      <c r="C21" s="5" t="s">
        <v>33</v>
      </c>
      <c r="D21" s="5">
        <v>24</v>
      </c>
      <c r="E21" s="6">
        <v>36957</v>
      </c>
      <c r="F21" s="5" t="s">
        <v>16</v>
      </c>
      <c r="G21" s="5">
        <v>7</v>
      </c>
      <c r="H21" s="5">
        <v>1</v>
      </c>
      <c r="I21" s="5">
        <v>1</v>
      </c>
      <c r="J21" s="5">
        <v>0.8</v>
      </c>
      <c r="K21" s="5">
        <v>0.48</v>
      </c>
      <c r="L21" s="5">
        <v>3.52</v>
      </c>
      <c r="M21" s="5">
        <v>7.83</v>
      </c>
    </row>
    <row r="22" spans="2:13" x14ac:dyDescent="0.35">
      <c r="B22" s="5" t="s">
        <v>42</v>
      </c>
      <c r="C22" s="5" t="s">
        <v>33</v>
      </c>
      <c r="D22" s="5">
        <v>17</v>
      </c>
      <c r="E22" s="6">
        <v>36976</v>
      </c>
      <c r="F22" s="5" t="s">
        <v>43</v>
      </c>
      <c r="G22" s="5">
        <v>2</v>
      </c>
      <c r="H22" s="5">
        <v>0</v>
      </c>
      <c r="I22" s="5">
        <v>0</v>
      </c>
      <c r="J22" s="5">
        <v>0.83</v>
      </c>
      <c r="K22" s="5">
        <v>0.83</v>
      </c>
      <c r="L22" s="5">
        <v>1.65</v>
      </c>
      <c r="M22" s="5">
        <v>8.26</v>
      </c>
    </row>
    <row r="23" spans="2:13" x14ac:dyDescent="0.35">
      <c r="B23" s="5" t="s">
        <v>44</v>
      </c>
      <c r="C23" s="5" t="s">
        <v>45</v>
      </c>
      <c r="D23" s="5">
        <v>10</v>
      </c>
      <c r="E23" s="6">
        <v>31790</v>
      </c>
      <c r="F23" s="5" t="s">
        <v>46</v>
      </c>
      <c r="G23" s="5">
        <v>7</v>
      </c>
      <c r="H23" s="5">
        <v>7</v>
      </c>
      <c r="I23" s="5">
        <v>3</v>
      </c>
      <c r="J23" s="5">
        <v>3.78</v>
      </c>
      <c r="K23" s="5">
        <v>0</v>
      </c>
      <c r="L23" s="5">
        <v>0.65</v>
      </c>
      <c r="M23" s="5">
        <v>6.39</v>
      </c>
    </row>
    <row r="24" spans="2:13" x14ac:dyDescent="0.35">
      <c r="B24" s="5" t="s">
        <v>47</v>
      </c>
      <c r="C24" s="5" t="s">
        <v>45</v>
      </c>
      <c r="D24" s="5">
        <v>22</v>
      </c>
      <c r="E24" s="6">
        <v>35897</v>
      </c>
      <c r="F24" s="5" t="s">
        <v>48</v>
      </c>
      <c r="G24" s="5">
        <v>6</v>
      </c>
      <c r="H24" s="5">
        <v>0</v>
      </c>
      <c r="I24" s="5">
        <v>0</v>
      </c>
      <c r="J24" s="5">
        <v>1.89</v>
      </c>
      <c r="K24" s="5">
        <v>0.38</v>
      </c>
      <c r="L24" s="5">
        <v>0</v>
      </c>
      <c r="M24" s="5">
        <v>6.81</v>
      </c>
    </row>
    <row r="25" spans="2:13" x14ac:dyDescent="0.35">
      <c r="B25" s="5" t="s">
        <v>49</v>
      </c>
      <c r="C25" s="5" t="s">
        <v>45</v>
      </c>
      <c r="D25" s="5">
        <v>21</v>
      </c>
      <c r="E25" s="6">
        <v>33337</v>
      </c>
      <c r="F25" s="5" t="s">
        <v>50</v>
      </c>
      <c r="G25" s="5">
        <v>2</v>
      </c>
      <c r="H25" s="5">
        <v>0</v>
      </c>
      <c r="I25" s="5">
        <v>0</v>
      </c>
      <c r="J25" s="5">
        <v>5.62</v>
      </c>
      <c r="K25" s="5">
        <v>0</v>
      </c>
      <c r="L25" s="5">
        <v>0</v>
      </c>
      <c r="M25" s="5">
        <v>0</v>
      </c>
    </row>
    <row r="26" spans="2:13" x14ac:dyDescent="0.35">
      <c r="B26" s="5" t="s">
        <v>51</v>
      </c>
      <c r="C26" s="5" t="s">
        <v>45</v>
      </c>
      <c r="D26" s="5">
        <v>16</v>
      </c>
      <c r="E26" s="6">
        <v>36976</v>
      </c>
      <c r="F26" s="5" t="s">
        <v>48</v>
      </c>
      <c r="G26" s="5">
        <v>1</v>
      </c>
      <c r="H26" s="5">
        <v>0</v>
      </c>
      <c r="I26" s="5">
        <v>0</v>
      </c>
      <c r="J26" s="5">
        <v>0</v>
      </c>
      <c r="K26" s="5">
        <v>0</v>
      </c>
      <c r="L26" s="5">
        <v>0</v>
      </c>
      <c r="M26" s="5">
        <v>0</v>
      </c>
    </row>
    <row r="27" spans="2:13" x14ac:dyDescent="0.35">
      <c r="B27" s="5" t="s">
        <v>52</v>
      </c>
      <c r="C27" s="5" t="s">
        <v>45</v>
      </c>
      <c r="D27" s="5">
        <v>9</v>
      </c>
      <c r="E27" s="6">
        <v>36566</v>
      </c>
      <c r="F27" s="5" t="s">
        <v>53</v>
      </c>
      <c r="G27" s="5">
        <v>7</v>
      </c>
      <c r="H27" s="5">
        <v>4</v>
      </c>
      <c r="I27" s="5">
        <v>0</v>
      </c>
      <c r="J27" s="5">
        <v>0.57999999999999996</v>
      </c>
      <c r="K27" s="5">
        <v>0</v>
      </c>
      <c r="L27" s="5">
        <v>0.77</v>
      </c>
      <c r="M27" s="5">
        <v>1.93</v>
      </c>
    </row>
    <row r="28" spans="2:13" x14ac:dyDescent="0.35">
      <c r="B28" s="5" t="s">
        <v>54</v>
      </c>
      <c r="C28" s="5" t="s">
        <v>45</v>
      </c>
      <c r="D28" s="5">
        <v>11</v>
      </c>
      <c r="E28" s="6">
        <v>32705</v>
      </c>
      <c r="F28" s="5" t="s">
        <v>34</v>
      </c>
      <c r="G28" s="5">
        <v>5</v>
      </c>
      <c r="H28" s="5">
        <v>1</v>
      </c>
      <c r="I28" s="5">
        <v>1</v>
      </c>
      <c r="J28" s="5">
        <v>6.83</v>
      </c>
      <c r="K28" s="5">
        <v>0.31</v>
      </c>
      <c r="L28" s="5">
        <v>0.93</v>
      </c>
      <c r="M28" s="5">
        <v>7.14</v>
      </c>
    </row>
    <row r="29" spans="2:13" x14ac:dyDescent="0.35">
      <c r="B29" s="5" t="s">
        <v>55</v>
      </c>
      <c r="C29" s="5" t="s">
        <v>45</v>
      </c>
      <c r="D29" s="5">
        <v>15</v>
      </c>
      <c r="E29" s="6">
        <v>34908</v>
      </c>
      <c r="F29" s="5" t="s">
        <v>24</v>
      </c>
      <c r="G29" s="5">
        <v>1</v>
      </c>
      <c r="H29" s="5">
        <v>0</v>
      </c>
      <c r="I29" s="5">
        <v>0</v>
      </c>
      <c r="J29" s="5">
        <v>0</v>
      </c>
      <c r="K29" s="5">
        <v>0</v>
      </c>
      <c r="L29" s="5">
        <v>0</v>
      </c>
      <c r="M29" s="5">
        <v>0</v>
      </c>
    </row>
    <row r="30" spans="2:13" x14ac:dyDescent="0.35">
      <c r="B30" s="5" t="s">
        <v>56</v>
      </c>
      <c r="C30" s="5" t="s">
        <v>57</v>
      </c>
      <c r="D30" s="5">
        <v>23</v>
      </c>
      <c r="E30" s="6">
        <v>33365</v>
      </c>
      <c r="F30" s="5" t="s">
        <v>58</v>
      </c>
      <c r="G30" s="5">
        <v>7</v>
      </c>
      <c r="H30" s="5">
        <v>0</v>
      </c>
      <c r="I30" s="5">
        <v>0</v>
      </c>
      <c r="J30" s="5">
        <v>0</v>
      </c>
      <c r="K30" s="5">
        <v>0</v>
      </c>
      <c r="L30" s="5">
        <v>0</v>
      </c>
      <c r="M30" s="5">
        <v>0.65</v>
      </c>
    </row>
    <row r="31" spans="2:13" x14ac:dyDescent="0.35">
      <c r="B31" s="5" t="s">
        <v>59</v>
      </c>
      <c r="C31" s="5" t="s">
        <v>57</v>
      </c>
      <c r="D31" s="5">
        <v>1</v>
      </c>
      <c r="E31" s="6">
        <v>31926</v>
      </c>
      <c r="F31" s="5" t="s">
        <v>60</v>
      </c>
      <c r="G31" s="5">
        <v>0</v>
      </c>
      <c r="H31" s="5">
        <v>0</v>
      </c>
      <c r="I31" s="5">
        <v>0</v>
      </c>
      <c r="J31" s="5">
        <v>0</v>
      </c>
      <c r="K31" s="5">
        <v>0</v>
      </c>
      <c r="L31" s="5">
        <v>0</v>
      </c>
      <c r="M31" s="5">
        <v>0</v>
      </c>
    </row>
    <row r="32" spans="2:13" x14ac:dyDescent="0.35">
      <c r="B32" s="5" t="s">
        <v>61</v>
      </c>
      <c r="C32" s="5" t="s">
        <v>57</v>
      </c>
      <c r="D32" s="5">
        <v>12</v>
      </c>
      <c r="E32" s="6">
        <v>33434</v>
      </c>
      <c r="F32" s="5" t="s">
        <v>27</v>
      </c>
      <c r="G32" s="5">
        <v>0</v>
      </c>
      <c r="H32" s="5">
        <v>0</v>
      </c>
      <c r="I32" s="5">
        <v>0</v>
      </c>
      <c r="J32" s="5">
        <v>0</v>
      </c>
      <c r="K32" s="5">
        <v>0</v>
      </c>
      <c r="L32" s="5">
        <v>0</v>
      </c>
      <c r="M32" s="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8C4C0-3EB4-4638-BF85-70830B6CF3A0}">
  <dimension ref="A3:B7"/>
  <sheetViews>
    <sheetView workbookViewId="0">
      <selection activeCell="J23" sqref="J23"/>
    </sheetView>
  </sheetViews>
  <sheetFormatPr defaultRowHeight="14.5" x14ac:dyDescent="0.35"/>
  <cols>
    <col min="1" max="1" width="12.453125" bestFit="1" customWidth="1"/>
    <col min="2" max="2" width="18.453125" bestFit="1" customWidth="1"/>
  </cols>
  <sheetData>
    <row r="3" spans="1:2" x14ac:dyDescent="0.35">
      <c r="A3" s="18" t="s">
        <v>69</v>
      </c>
      <c r="B3" t="s">
        <v>71</v>
      </c>
    </row>
    <row r="4" spans="1:2" x14ac:dyDescent="0.35">
      <c r="A4" s="19" t="s">
        <v>15</v>
      </c>
      <c r="B4" s="22">
        <v>1</v>
      </c>
    </row>
    <row r="5" spans="1:2" x14ac:dyDescent="0.35">
      <c r="A5" s="19" t="s">
        <v>45</v>
      </c>
      <c r="B5" s="22">
        <v>12</v>
      </c>
    </row>
    <row r="6" spans="1:2" x14ac:dyDescent="0.35">
      <c r="A6" s="19" t="s">
        <v>57</v>
      </c>
      <c r="B6" s="22">
        <v>0</v>
      </c>
    </row>
    <row r="7" spans="1:2" x14ac:dyDescent="0.35">
      <c r="A7" s="19" t="s">
        <v>33</v>
      </c>
      <c r="B7" s="22">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65D5-0D98-4433-AD43-10F250891956}">
  <dimension ref="A1:F27"/>
  <sheetViews>
    <sheetView workbookViewId="0">
      <selection activeCell="C3" sqref="C3"/>
    </sheetView>
  </sheetViews>
  <sheetFormatPr defaultRowHeight="14.5" x14ac:dyDescent="0.35"/>
  <cols>
    <col min="1" max="1" width="16" bestFit="1" customWidth="1"/>
    <col min="2" max="2" width="30.26953125" bestFit="1" customWidth="1"/>
    <col min="3" max="3" width="34.1796875" bestFit="1" customWidth="1"/>
    <col min="4" max="4" width="24.1796875" bestFit="1" customWidth="1"/>
    <col min="5" max="5" width="14.08984375" bestFit="1" customWidth="1"/>
    <col min="6" max="6" width="14.90625" bestFit="1" customWidth="1"/>
  </cols>
  <sheetData>
    <row r="1" spans="1:6" ht="18.5" x14ac:dyDescent="0.45">
      <c r="A1" s="17" t="s">
        <v>2</v>
      </c>
      <c r="B1" s="17" t="s">
        <v>66</v>
      </c>
      <c r="C1" s="17" t="s">
        <v>65</v>
      </c>
      <c r="D1" s="17" t="s">
        <v>64</v>
      </c>
      <c r="E1" s="17" t="s">
        <v>62</v>
      </c>
      <c r="F1" s="17" t="s">
        <v>63</v>
      </c>
    </row>
    <row r="2" spans="1:6" x14ac:dyDescent="0.35">
      <c r="A2" s="5" t="s">
        <v>14</v>
      </c>
      <c r="B2" s="7">
        <f>SUM(DATASET!I7:I32)</f>
        <v>8</v>
      </c>
      <c r="C2" s="7">
        <f>AVERAGE(DATASET!L7:L32)</f>
        <v>1.223076923076923</v>
      </c>
      <c r="D2" s="7">
        <f>COUNT(DATASET!H7:H32)</f>
        <v>26</v>
      </c>
      <c r="E2" t="str" cm="1">
        <f t="array" ref="E2:E27">IF(DATASET!K7:K32&gt;2, "High Tackler", "Low Tackler")</f>
        <v>Low Tackler</v>
      </c>
      <c r="F2" s="7" cm="1">
        <f t="array" ref="F2">MEDIAN(IF(DATASET!C7:C32="MF", DATASET!L7:L32))</f>
        <v>1.91</v>
      </c>
    </row>
    <row r="3" spans="1:6" x14ac:dyDescent="0.35">
      <c r="A3" s="5" t="s">
        <v>17</v>
      </c>
      <c r="E3" t="str">
        <v>Low Tackler</v>
      </c>
    </row>
    <row r="4" spans="1:6" x14ac:dyDescent="0.35">
      <c r="A4" s="5" t="s">
        <v>19</v>
      </c>
      <c r="E4" t="str">
        <v>High Tackler</v>
      </c>
    </row>
    <row r="5" spans="1:6" x14ac:dyDescent="0.35">
      <c r="A5" s="5" t="s">
        <v>21</v>
      </c>
      <c r="E5" t="str">
        <v>Low Tackler</v>
      </c>
    </row>
    <row r="6" spans="1:6" x14ac:dyDescent="0.35">
      <c r="A6" s="5" t="s">
        <v>23</v>
      </c>
      <c r="E6" t="str">
        <v>Low Tackler</v>
      </c>
    </row>
    <row r="7" spans="1:6" x14ac:dyDescent="0.35">
      <c r="A7" s="5" t="s">
        <v>25</v>
      </c>
      <c r="E7" t="str">
        <v>Low Tackler</v>
      </c>
    </row>
    <row r="8" spans="1:6" x14ac:dyDescent="0.35">
      <c r="A8" s="5" t="s">
        <v>26</v>
      </c>
      <c r="E8" t="str">
        <v>Low Tackler</v>
      </c>
    </row>
    <row r="9" spans="1:6" x14ac:dyDescent="0.35">
      <c r="A9" s="5" t="s">
        <v>28</v>
      </c>
      <c r="E9" t="str">
        <v>Low Tackler</v>
      </c>
    </row>
    <row r="10" spans="1:6" x14ac:dyDescent="0.35">
      <c r="A10" s="5" t="s">
        <v>30</v>
      </c>
      <c r="E10" t="str">
        <v>Low Tackler</v>
      </c>
    </row>
    <row r="11" spans="1:6" x14ac:dyDescent="0.35">
      <c r="A11" s="5" t="s">
        <v>32</v>
      </c>
      <c r="E11" t="str">
        <v>Low Tackler</v>
      </c>
    </row>
    <row r="12" spans="1:6" x14ac:dyDescent="0.35">
      <c r="A12" s="5" t="s">
        <v>35</v>
      </c>
      <c r="E12" t="str">
        <v>Low Tackler</v>
      </c>
    </row>
    <row r="13" spans="1:6" x14ac:dyDescent="0.35">
      <c r="A13" s="5" t="s">
        <v>36</v>
      </c>
      <c r="E13" t="str">
        <v>Low Tackler</v>
      </c>
    </row>
    <row r="14" spans="1:6" x14ac:dyDescent="0.35">
      <c r="A14" s="5" t="s">
        <v>37</v>
      </c>
      <c r="E14" t="str">
        <v>High Tackler</v>
      </c>
    </row>
    <row r="15" spans="1:6" x14ac:dyDescent="0.35">
      <c r="A15" s="5" t="s">
        <v>39</v>
      </c>
      <c r="E15" t="str">
        <v>Low Tackler</v>
      </c>
    </row>
    <row r="16" spans="1:6" x14ac:dyDescent="0.35">
      <c r="A16" s="5" t="s">
        <v>41</v>
      </c>
      <c r="E16" t="str">
        <v>Low Tackler</v>
      </c>
    </row>
    <row r="17" spans="1:5" x14ac:dyDescent="0.35">
      <c r="A17" s="5" t="s">
        <v>42</v>
      </c>
      <c r="E17" t="str">
        <v>Low Tackler</v>
      </c>
    </row>
    <row r="18" spans="1:5" x14ac:dyDescent="0.35">
      <c r="A18" s="5" t="s">
        <v>44</v>
      </c>
      <c r="E18" t="str">
        <v>Low Tackler</v>
      </c>
    </row>
    <row r="19" spans="1:5" x14ac:dyDescent="0.35">
      <c r="A19" s="5" t="s">
        <v>47</v>
      </c>
      <c r="E19" t="str">
        <v>Low Tackler</v>
      </c>
    </row>
    <row r="20" spans="1:5" x14ac:dyDescent="0.35">
      <c r="A20" s="5" t="s">
        <v>49</v>
      </c>
      <c r="E20" t="str">
        <v>Low Tackler</v>
      </c>
    </row>
    <row r="21" spans="1:5" x14ac:dyDescent="0.35">
      <c r="A21" s="5" t="s">
        <v>51</v>
      </c>
      <c r="E21" t="str">
        <v>Low Tackler</v>
      </c>
    </row>
    <row r="22" spans="1:5" x14ac:dyDescent="0.35">
      <c r="A22" s="5" t="s">
        <v>52</v>
      </c>
      <c r="E22" t="str">
        <v>Low Tackler</v>
      </c>
    </row>
    <row r="23" spans="1:5" x14ac:dyDescent="0.35">
      <c r="A23" s="5" t="s">
        <v>54</v>
      </c>
      <c r="E23" t="str">
        <v>Low Tackler</v>
      </c>
    </row>
    <row r="24" spans="1:5" x14ac:dyDescent="0.35">
      <c r="A24" s="5" t="s">
        <v>55</v>
      </c>
      <c r="E24" t="str">
        <v>Low Tackler</v>
      </c>
    </row>
    <row r="25" spans="1:5" x14ac:dyDescent="0.35">
      <c r="A25" s="5" t="s">
        <v>56</v>
      </c>
      <c r="E25" t="str">
        <v>Low Tackler</v>
      </c>
    </row>
    <row r="26" spans="1:5" x14ac:dyDescent="0.35">
      <c r="A26" s="5" t="s">
        <v>59</v>
      </c>
      <c r="E26" t="str">
        <v>Low Tackler</v>
      </c>
    </row>
    <row r="27" spans="1:5" x14ac:dyDescent="0.35">
      <c r="A27" s="5" t="s">
        <v>61</v>
      </c>
      <c r="E27" t="str">
        <v>Low Tackler</v>
      </c>
    </row>
  </sheetData>
  <conditionalFormatting sqref="E2:E27">
    <cfRule type="containsText" dxfId="1" priority="1" operator="containsText" text="high">
      <formula>NOT(ISERROR(SEARCH("high",E2)))</formula>
    </cfRule>
    <cfRule type="containsText" dxfId="0" priority="2" operator="containsText" text="low">
      <formula>NOT(ISERROR(SEARCH("low",E2)))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A007-34A7-4BEF-9DEB-8DAED8666605}">
  <dimension ref="A1:L28"/>
  <sheetViews>
    <sheetView workbookViewId="0">
      <selection sqref="A1:L1"/>
    </sheetView>
  </sheetViews>
  <sheetFormatPr defaultRowHeight="14.5" x14ac:dyDescent="0.35"/>
  <cols>
    <col min="1" max="1" width="16" bestFit="1" customWidth="1"/>
    <col min="2" max="2" width="10.1796875" customWidth="1"/>
    <col min="4" max="4" width="11" bestFit="1" customWidth="1"/>
    <col min="5" max="5" width="16.81640625" bestFit="1" customWidth="1"/>
    <col min="6" max="6" width="13.90625" customWidth="1"/>
    <col min="8" max="8" width="11.36328125" customWidth="1"/>
    <col min="10" max="10" width="14.36328125" customWidth="1"/>
    <col min="12" max="12" width="14.26953125" customWidth="1"/>
  </cols>
  <sheetData>
    <row r="1" spans="1:12" ht="23.5" x14ac:dyDescent="0.55000000000000004">
      <c r="A1" s="20" t="s">
        <v>67</v>
      </c>
      <c r="B1" s="20"/>
      <c r="C1" s="20"/>
      <c r="D1" s="20"/>
      <c r="E1" s="20"/>
      <c r="F1" s="20"/>
      <c r="G1" s="20"/>
      <c r="H1" s="20"/>
      <c r="I1" s="20"/>
      <c r="J1" s="20"/>
      <c r="K1" s="20"/>
      <c r="L1" s="20"/>
    </row>
    <row r="2" spans="1:12" ht="46.5" x14ac:dyDescent="0.35">
      <c r="A2" s="3" t="s">
        <v>2</v>
      </c>
      <c r="B2" s="3" t="s">
        <v>3</v>
      </c>
      <c r="C2" s="4" t="s">
        <v>4</v>
      </c>
      <c r="D2" s="3" t="s">
        <v>5</v>
      </c>
      <c r="E2" s="3" t="s">
        <v>6</v>
      </c>
      <c r="F2" s="4" t="s">
        <v>7</v>
      </c>
      <c r="G2" s="4" t="s">
        <v>8</v>
      </c>
      <c r="H2" s="4" t="s">
        <v>9</v>
      </c>
      <c r="I2" s="4" t="s">
        <v>10</v>
      </c>
      <c r="J2" s="4" t="s">
        <v>11</v>
      </c>
      <c r="K2" s="4" t="s">
        <v>12</v>
      </c>
      <c r="L2" s="4" t="s">
        <v>13</v>
      </c>
    </row>
    <row r="3" spans="1:12" x14ac:dyDescent="0.35">
      <c r="A3" s="5" t="s">
        <v>51</v>
      </c>
      <c r="B3" s="5" t="s">
        <v>45</v>
      </c>
      <c r="C3" s="5">
        <v>16</v>
      </c>
      <c r="D3" s="6">
        <v>36976</v>
      </c>
      <c r="E3" s="5" t="s">
        <v>48</v>
      </c>
      <c r="F3" s="5">
        <v>1</v>
      </c>
      <c r="G3" s="5">
        <v>0</v>
      </c>
      <c r="H3" s="5">
        <v>0</v>
      </c>
      <c r="I3" s="5">
        <v>0</v>
      </c>
      <c r="J3" s="5">
        <v>0</v>
      </c>
      <c r="K3" s="5">
        <v>0</v>
      </c>
      <c r="L3" s="5">
        <v>0</v>
      </c>
    </row>
    <row r="4" spans="1:12" x14ac:dyDescent="0.35">
      <c r="A4" s="5" t="s">
        <v>35</v>
      </c>
      <c r="B4" s="5" t="s">
        <v>33</v>
      </c>
      <c r="C4" s="5">
        <v>7</v>
      </c>
      <c r="D4" s="6">
        <v>33772</v>
      </c>
      <c r="E4" s="5" t="s">
        <v>24</v>
      </c>
      <c r="F4" s="5">
        <v>7</v>
      </c>
      <c r="G4" s="5">
        <v>0</v>
      </c>
      <c r="H4" s="5">
        <v>0</v>
      </c>
      <c r="I4" s="5">
        <v>0.6</v>
      </c>
      <c r="J4" s="5">
        <v>1.05</v>
      </c>
      <c r="K4" s="5">
        <v>1.79</v>
      </c>
      <c r="L4" s="5">
        <v>4.6399999999999997</v>
      </c>
    </row>
    <row r="5" spans="1:12" x14ac:dyDescent="0.35">
      <c r="A5" s="5" t="s">
        <v>49</v>
      </c>
      <c r="B5" s="5" t="s">
        <v>45</v>
      </c>
      <c r="C5" s="5">
        <v>21</v>
      </c>
      <c r="D5" s="6">
        <v>33337</v>
      </c>
      <c r="E5" s="5" t="s">
        <v>50</v>
      </c>
      <c r="F5" s="5">
        <v>2</v>
      </c>
      <c r="G5" s="5">
        <v>0</v>
      </c>
      <c r="H5" s="5">
        <v>0</v>
      </c>
      <c r="I5" s="5">
        <v>5.62</v>
      </c>
      <c r="J5" s="5">
        <v>0</v>
      </c>
      <c r="K5" s="5">
        <v>0</v>
      </c>
      <c r="L5" s="5">
        <v>0</v>
      </c>
    </row>
    <row r="6" spans="1:12" x14ac:dyDescent="0.35">
      <c r="A6" s="5" t="s">
        <v>19</v>
      </c>
      <c r="B6" s="5" t="s">
        <v>15</v>
      </c>
      <c r="C6" s="5">
        <v>3</v>
      </c>
      <c r="D6" s="6">
        <v>33364</v>
      </c>
      <c r="E6" s="5" t="s">
        <v>20</v>
      </c>
      <c r="F6" s="5">
        <v>6</v>
      </c>
      <c r="G6" s="5">
        <v>0</v>
      </c>
      <c r="H6" s="5">
        <v>0</v>
      </c>
      <c r="I6" s="5">
        <v>0.48</v>
      </c>
      <c r="J6" s="5">
        <v>2.17</v>
      </c>
      <c r="K6" s="5">
        <v>1.69</v>
      </c>
      <c r="L6" s="5">
        <v>5.07</v>
      </c>
    </row>
    <row r="7" spans="1:12" x14ac:dyDescent="0.35">
      <c r="A7" s="5" t="s">
        <v>14</v>
      </c>
      <c r="B7" s="5" t="s">
        <v>15</v>
      </c>
      <c r="C7" s="5">
        <v>19</v>
      </c>
      <c r="D7" s="6">
        <v>32702</v>
      </c>
      <c r="E7" s="5" t="s">
        <v>16</v>
      </c>
      <c r="F7" s="5">
        <v>7</v>
      </c>
      <c r="G7" s="5">
        <v>0</v>
      </c>
      <c r="H7" s="5">
        <v>1</v>
      </c>
      <c r="I7" s="5">
        <v>0.33</v>
      </c>
      <c r="J7" s="5">
        <v>1.17</v>
      </c>
      <c r="K7" s="5">
        <v>1.3</v>
      </c>
      <c r="L7" s="5">
        <v>7.17</v>
      </c>
    </row>
    <row r="8" spans="1:12" x14ac:dyDescent="0.35">
      <c r="A8" s="5" t="s">
        <v>23</v>
      </c>
      <c r="B8" s="5" t="s">
        <v>15</v>
      </c>
      <c r="C8" s="5">
        <v>26</v>
      </c>
      <c r="D8" s="6">
        <v>35837</v>
      </c>
      <c r="E8" s="5" t="s">
        <v>24</v>
      </c>
      <c r="F8" s="5">
        <v>7</v>
      </c>
      <c r="G8" s="5">
        <v>1</v>
      </c>
      <c r="H8" s="5">
        <v>1</v>
      </c>
      <c r="I8" s="5">
        <v>0.32</v>
      </c>
      <c r="J8" s="5">
        <v>0.47</v>
      </c>
      <c r="K8" s="5">
        <v>1.42</v>
      </c>
      <c r="L8" s="5">
        <v>1.58</v>
      </c>
    </row>
    <row r="9" spans="1:12" x14ac:dyDescent="0.35">
      <c r="A9" s="5" t="s">
        <v>17</v>
      </c>
      <c r="B9" s="5" t="s">
        <v>15</v>
      </c>
      <c r="C9" s="5">
        <v>8</v>
      </c>
      <c r="D9" s="6">
        <v>33313</v>
      </c>
      <c r="E9" s="5" t="s">
        <v>18</v>
      </c>
      <c r="F9" s="5">
        <v>6</v>
      </c>
      <c r="G9" s="5">
        <v>0</v>
      </c>
      <c r="H9" s="5">
        <v>0</v>
      </c>
      <c r="I9" s="5">
        <v>1.45</v>
      </c>
      <c r="J9" s="5">
        <v>0.48</v>
      </c>
      <c r="K9" s="5">
        <v>2.9</v>
      </c>
      <c r="L9" s="5">
        <v>7.97</v>
      </c>
    </row>
    <row r="10" spans="1:12" x14ac:dyDescent="0.35">
      <c r="A10" s="5" t="s">
        <v>30</v>
      </c>
      <c r="B10" s="5" t="s">
        <v>15</v>
      </c>
      <c r="C10" s="5">
        <v>25</v>
      </c>
      <c r="D10" s="6">
        <v>35712</v>
      </c>
      <c r="E10" s="5" t="s">
        <v>31</v>
      </c>
      <c r="F10" s="5">
        <v>5</v>
      </c>
      <c r="G10" s="5">
        <v>0</v>
      </c>
      <c r="H10" s="5">
        <v>0</v>
      </c>
      <c r="I10" s="5">
        <v>0.3</v>
      </c>
      <c r="J10" s="5">
        <v>0.9</v>
      </c>
      <c r="K10" s="5">
        <v>1.5</v>
      </c>
      <c r="L10" s="5">
        <v>4.1900000000000004</v>
      </c>
    </row>
    <row r="11" spans="1:12" x14ac:dyDescent="0.35">
      <c r="A11" s="5" t="s">
        <v>44</v>
      </c>
      <c r="B11" s="5" t="s">
        <v>45</v>
      </c>
      <c r="C11" s="5">
        <v>10</v>
      </c>
      <c r="D11" s="6">
        <v>31790</v>
      </c>
      <c r="E11" s="5" t="s">
        <v>46</v>
      </c>
      <c r="F11" s="5">
        <v>7</v>
      </c>
      <c r="G11" s="5">
        <v>7</v>
      </c>
      <c r="H11" s="5">
        <v>3</v>
      </c>
      <c r="I11" s="5">
        <v>3.78</v>
      </c>
      <c r="J11" s="5">
        <v>0</v>
      </c>
      <c r="K11" s="5">
        <v>0.65</v>
      </c>
      <c r="L11" s="5">
        <v>6.39</v>
      </c>
    </row>
    <row r="12" spans="1:12" x14ac:dyDescent="0.35">
      <c r="A12" s="5" t="s">
        <v>32</v>
      </c>
      <c r="B12" s="5" t="s">
        <v>33</v>
      </c>
      <c r="C12" s="5">
        <v>5</v>
      </c>
      <c r="D12" s="6">
        <v>33872</v>
      </c>
      <c r="E12" s="5" t="s">
        <v>34</v>
      </c>
      <c r="F12" s="5">
        <v>5</v>
      </c>
      <c r="G12" s="5">
        <v>0</v>
      </c>
      <c r="H12" s="5">
        <v>0</v>
      </c>
      <c r="I12" s="5">
        <v>0.4</v>
      </c>
      <c r="J12" s="5">
        <v>1.21</v>
      </c>
      <c r="K12" s="5">
        <v>4.0199999999999996</v>
      </c>
      <c r="L12" s="5">
        <v>9.24</v>
      </c>
    </row>
    <row r="13" spans="1:12" x14ac:dyDescent="0.35">
      <c r="A13" s="5" t="s">
        <v>47</v>
      </c>
      <c r="B13" s="5" t="s">
        <v>45</v>
      </c>
      <c r="C13" s="5">
        <v>22</v>
      </c>
      <c r="D13" s="6">
        <v>35897</v>
      </c>
      <c r="E13" s="5" t="s">
        <v>48</v>
      </c>
      <c r="F13" s="5">
        <v>6</v>
      </c>
      <c r="G13" s="5">
        <v>0</v>
      </c>
      <c r="H13" s="5">
        <v>0</v>
      </c>
      <c r="I13" s="5">
        <v>1.89</v>
      </c>
      <c r="J13" s="5">
        <v>0.38</v>
      </c>
      <c r="K13" s="5">
        <v>0</v>
      </c>
      <c r="L13" s="5">
        <v>6.81</v>
      </c>
    </row>
    <row r="14" spans="1:12" x14ac:dyDescent="0.35">
      <c r="A14" s="5" t="s">
        <v>52</v>
      </c>
      <c r="B14" s="5" t="s">
        <v>45</v>
      </c>
      <c r="C14" s="5">
        <v>9</v>
      </c>
      <c r="D14" s="6">
        <v>36566</v>
      </c>
      <c r="E14" s="5" t="s">
        <v>53</v>
      </c>
      <c r="F14" s="5">
        <v>7</v>
      </c>
      <c r="G14" s="5">
        <v>4</v>
      </c>
      <c r="H14" s="5">
        <v>0</v>
      </c>
      <c r="I14" s="5">
        <v>0.57999999999999996</v>
      </c>
      <c r="J14" s="5">
        <v>0</v>
      </c>
      <c r="K14" s="5">
        <v>0.77</v>
      </c>
      <c r="L14" s="5">
        <v>1.93</v>
      </c>
    </row>
    <row r="15" spans="1:12" x14ac:dyDescent="0.35">
      <c r="A15" s="5" t="s">
        <v>26</v>
      </c>
      <c r="B15" s="5" t="s">
        <v>15</v>
      </c>
      <c r="C15" s="5">
        <v>2</v>
      </c>
      <c r="D15" s="6">
        <v>35703</v>
      </c>
      <c r="E15" s="5" t="s">
        <v>27</v>
      </c>
      <c r="F15" s="5">
        <v>1</v>
      </c>
      <c r="G15" s="5">
        <v>0</v>
      </c>
      <c r="H15" s="5">
        <v>0</v>
      </c>
      <c r="I15" s="5">
        <v>0</v>
      </c>
      <c r="J15" s="5">
        <v>0</v>
      </c>
      <c r="K15" s="5">
        <v>0</v>
      </c>
      <c r="L15" s="5">
        <v>0</v>
      </c>
    </row>
    <row r="16" spans="1:12" x14ac:dyDescent="0.35">
      <c r="A16" s="5" t="s">
        <v>36</v>
      </c>
      <c r="B16" s="5" t="s">
        <v>33</v>
      </c>
      <c r="C16" s="5">
        <v>18</v>
      </c>
      <c r="D16" s="6">
        <v>33742</v>
      </c>
      <c r="E16" s="5" t="s">
        <v>22</v>
      </c>
      <c r="F16" s="5">
        <v>1</v>
      </c>
      <c r="G16" s="5">
        <v>0</v>
      </c>
      <c r="H16" s="5">
        <v>0</v>
      </c>
      <c r="I16" s="5">
        <v>0</v>
      </c>
      <c r="J16" s="5">
        <v>0</v>
      </c>
      <c r="K16" s="5">
        <v>3.16</v>
      </c>
      <c r="L16" s="5">
        <v>6.32</v>
      </c>
    </row>
    <row r="17" spans="1:12" x14ac:dyDescent="0.35">
      <c r="A17" s="5" t="s">
        <v>25</v>
      </c>
      <c r="B17" s="5" t="s">
        <v>15</v>
      </c>
      <c r="C17" s="5">
        <v>4</v>
      </c>
      <c r="D17" s="6">
        <v>35622</v>
      </c>
      <c r="E17" s="5" t="s">
        <v>18</v>
      </c>
      <c r="F17" s="5">
        <v>4</v>
      </c>
      <c r="G17" s="5">
        <v>0</v>
      </c>
      <c r="H17" s="5">
        <v>0</v>
      </c>
      <c r="I17" s="5">
        <v>0.77</v>
      </c>
      <c r="J17" s="5">
        <v>0.77</v>
      </c>
      <c r="K17" s="5">
        <v>2.31</v>
      </c>
      <c r="L17" s="5">
        <v>5.39</v>
      </c>
    </row>
    <row r="18" spans="1:12" x14ac:dyDescent="0.35">
      <c r="A18" s="5" t="s">
        <v>61</v>
      </c>
      <c r="B18" s="5" t="s">
        <v>57</v>
      </c>
      <c r="C18" s="5">
        <v>12</v>
      </c>
      <c r="D18" s="6">
        <v>33434</v>
      </c>
      <c r="E18" s="5" t="s">
        <v>27</v>
      </c>
      <c r="F18" s="5">
        <v>0</v>
      </c>
      <c r="G18" s="5">
        <v>0</v>
      </c>
      <c r="H18" s="5">
        <v>0</v>
      </c>
      <c r="I18" s="5">
        <v>0</v>
      </c>
      <c r="J18" s="5">
        <v>0</v>
      </c>
      <c r="K18" s="5">
        <v>0</v>
      </c>
      <c r="L18" s="5">
        <v>0</v>
      </c>
    </row>
    <row r="19" spans="1:12" x14ac:dyDescent="0.35">
      <c r="A19" s="5" t="s">
        <v>21</v>
      </c>
      <c r="B19" s="5" t="s">
        <v>15</v>
      </c>
      <c r="C19" s="5">
        <v>6</v>
      </c>
      <c r="D19" s="6">
        <v>33294</v>
      </c>
      <c r="E19" s="5" t="s">
        <v>22</v>
      </c>
      <c r="F19" s="5">
        <v>3</v>
      </c>
      <c r="G19" s="5">
        <v>0</v>
      </c>
      <c r="H19" s="5">
        <v>0</v>
      </c>
      <c r="I19" s="5">
        <v>0</v>
      </c>
      <c r="J19" s="5">
        <v>0</v>
      </c>
      <c r="K19" s="5">
        <v>0</v>
      </c>
      <c r="L19" s="5">
        <v>3.16</v>
      </c>
    </row>
    <row r="20" spans="1:12" x14ac:dyDescent="0.35">
      <c r="A20" s="5" t="s">
        <v>59</v>
      </c>
      <c r="B20" s="5" t="s">
        <v>57</v>
      </c>
      <c r="C20" s="5">
        <v>1</v>
      </c>
      <c r="D20" s="6">
        <v>31926</v>
      </c>
      <c r="E20" s="5" t="s">
        <v>60</v>
      </c>
      <c r="F20" s="5">
        <v>0</v>
      </c>
      <c r="G20" s="5">
        <v>0</v>
      </c>
      <c r="H20" s="5">
        <v>0</v>
      </c>
      <c r="I20" s="5">
        <v>0</v>
      </c>
      <c r="J20" s="5">
        <v>0</v>
      </c>
      <c r="K20" s="5">
        <v>0</v>
      </c>
      <c r="L20" s="5">
        <v>0</v>
      </c>
    </row>
    <row r="21" spans="1:12" x14ac:dyDescent="0.35">
      <c r="A21" s="5" t="s">
        <v>37</v>
      </c>
      <c r="B21" s="5" t="s">
        <v>33</v>
      </c>
      <c r="C21" s="5">
        <v>14</v>
      </c>
      <c r="D21" s="6">
        <v>35977</v>
      </c>
      <c r="E21" s="5" t="s">
        <v>38</v>
      </c>
      <c r="F21" s="5">
        <v>3</v>
      </c>
      <c r="G21" s="5">
        <v>0</v>
      </c>
      <c r="H21" s="5">
        <v>0</v>
      </c>
      <c r="I21" s="5">
        <v>0</v>
      </c>
      <c r="J21" s="5">
        <v>3.83</v>
      </c>
      <c r="K21" s="5">
        <v>1.91</v>
      </c>
      <c r="L21" s="5">
        <v>7.66</v>
      </c>
    </row>
    <row r="22" spans="1:12" x14ac:dyDescent="0.35">
      <c r="A22" s="5" t="s">
        <v>41</v>
      </c>
      <c r="B22" s="5" t="s">
        <v>33</v>
      </c>
      <c r="C22" s="5">
        <v>24</v>
      </c>
      <c r="D22" s="6">
        <v>36957</v>
      </c>
      <c r="E22" s="5" t="s">
        <v>16</v>
      </c>
      <c r="F22" s="5">
        <v>7</v>
      </c>
      <c r="G22" s="5">
        <v>1</v>
      </c>
      <c r="H22" s="5">
        <v>1</v>
      </c>
      <c r="I22" s="5">
        <v>0.8</v>
      </c>
      <c r="J22" s="5">
        <v>0.48</v>
      </c>
      <c r="K22" s="5">
        <v>3.52</v>
      </c>
      <c r="L22" s="5">
        <v>7.83</v>
      </c>
    </row>
    <row r="23" spans="1:12" x14ac:dyDescent="0.35">
      <c r="A23" s="5" t="s">
        <v>56</v>
      </c>
      <c r="B23" s="5" t="s">
        <v>57</v>
      </c>
      <c r="C23" s="5">
        <v>23</v>
      </c>
      <c r="D23" s="6">
        <v>33365</v>
      </c>
      <c r="E23" s="5" t="s">
        <v>58</v>
      </c>
      <c r="F23" s="5">
        <v>7</v>
      </c>
      <c r="G23" s="5">
        <v>0</v>
      </c>
      <c r="H23" s="5">
        <v>0</v>
      </c>
      <c r="I23" s="5">
        <v>0</v>
      </c>
      <c r="J23" s="5">
        <v>0</v>
      </c>
      <c r="K23" s="5">
        <v>0</v>
      </c>
      <c r="L23" s="5">
        <v>0.65</v>
      </c>
    </row>
    <row r="24" spans="1:12" x14ac:dyDescent="0.35">
      <c r="A24" s="5" t="s">
        <v>28</v>
      </c>
      <c r="B24" s="5" t="s">
        <v>15</v>
      </c>
      <c r="C24" s="5">
        <v>13</v>
      </c>
      <c r="D24" s="6">
        <v>35849</v>
      </c>
      <c r="E24" s="5" t="s">
        <v>29</v>
      </c>
      <c r="F24" s="5">
        <v>7</v>
      </c>
      <c r="G24" s="5">
        <v>0</v>
      </c>
      <c r="H24" s="5">
        <v>0</v>
      </c>
      <c r="I24" s="5">
        <v>0.16</v>
      </c>
      <c r="J24" s="5">
        <v>0.49</v>
      </c>
      <c r="K24" s="5">
        <v>0.82</v>
      </c>
      <c r="L24" s="5">
        <v>5.09</v>
      </c>
    </row>
    <row r="25" spans="1:12" x14ac:dyDescent="0.35">
      <c r="A25" s="5" t="s">
        <v>54</v>
      </c>
      <c r="B25" s="5" t="s">
        <v>45</v>
      </c>
      <c r="C25" s="5">
        <v>11</v>
      </c>
      <c r="D25" s="6">
        <v>32705</v>
      </c>
      <c r="E25" s="5" t="s">
        <v>34</v>
      </c>
      <c r="F25" s="5">
        <v>5</v>
      </c>
      <c r="G25" s="5">
        <v>1</v>
      </c>
      <c r="H25" s="5">
        <v>1</v>
      </c>
      <c r="I25" s="5">
        <v>6.83</v>
      </c>
      <c r="J25" s="5">
        <v>0.31</v>
      </c>
      <c r="K25" s="5">
        <v>0.93</v>
      </c>
      <c r="L25" s="5">
        <v>7.14</v>
      </c>
    </row>
    <row r="26" spans="1:12" x14ac:dyDescent="0.35">
      <c r="A26" s="5" t="s">
        <v>55</v>
      </c>
      <c r="B26" s="5" t="s">
        <v>45</v>
      </c>
      <c r="C26" s="5">
        <v>15</v>
      </c>
      <c r="D26" s="6">
        <v>34908</v>
      </c>
      <c r="E26" s="5" t="s">
        <v>24</v>
      </c>
      <c r="F26" s="5">
        <v>1</v>
      </c>
      <c r="G26" s="5">
        <v>0</v>
      </c>
      <c r="H26" s="5">
        <v>0</v>
      </c>
      <c r="I26" s="5">
        <v>0</v>
      </c>
      <c r="J26" s="5">
        <v>0</v>
      </c>
      <c r="K26" s="5">
        <v>0</v>
      </c>
      <c r="L26" s="5">
        <v>0</v>
      </c>
    </row>
    <row r="27" spans="1:12" x14ac:dyDescent="0.35">
      <c r="A27" s="5" t="s">
        <v>39</v>
      </c>
      <c r="B27" s="5" t="s">
        <v>33</v>
      </c>
      <c r="C27" s="5">
        <v>20</v>
      </c>
      <c r="D27" s="6">
        <v>35999</v>
      </c>
      <c r="E27" s="5" t="s">
        <v>40</v>
      </c>
      <c r="F27" s="5">
        <v>6</v>
      </c>
      <c r="G27" s="5">
        <v>1</v>
      </c>
      <c r="H27" s="5">
        <v>1</v>
      </c>
      <c r="I27" s="5">
        <v>0.97</v>
      </c>
      <c r="J27" s="5">
        <v>0.49</v>
      </c>
      <c r="K27" s="5">
        <v>1.46</v>
      </c>
      <c r="L27" s="5">
        <v>5.85</v>
      </c>
    </row>
    <row r="28" spans="1:12" x14ac:dyDescent="0.35">
      <c r="A28" s="5" t="s">
        <v>42</v>
      </c>
      <c r="B28" s="5" t="s">
        <v>33</v>
      </c>
      <c r="C28" s="5">
        <v>17</v>
      </c>
      <c r="D28" s="6">
        <v>36976</v>
      </c>
      <c r="E28" s="5" t="s">
        <v>43</v>
      </c>
      <c r="F28" s="5">
        <v>2</v>
      </c>
      <c r="G28" s="5">
        <v>0</v>
      </c>
      <c r="H28" s="5">
        <v>0</v>
      </c>
      <c r="I28" s="5">
        <v>0.83</v>
      </c>
      <c r="J28" s="5">
        <v>0.83</v>
      </c>
      <c r="K28" s="5">
        <v>1.65</v>
      </c>
      <c r="L28" s="5">
        <v>8.26</v>
      </c>
    </row>
  </sheetData>
  <autoFilter ref="A2:L2" xr:uid="{3648A007-34A7-4BEF-9DEB-8DAED8666605}">
    <sortState xmlns:xlrd2="http://schemas.microsoft.com/office/spreadsheetml/2017/richdata2" ref="A3:L28">
      <sortCondition descending="1" ref="A2"/>
    </sortState>
  </autoFilter>
  <sortState xmlns:xlrd2="http://schemas.microsoft.com/office/spreadsheetml/2017/richdata2" ref="A3:L28">
    <sortCondition descending="1" ref="A3:A28"/>
  </sortState>
  <mergeCells count="1">
    <mergeCell ref="A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0C51-8D0E-44E8-97D3-AA6B93434107}">
  <dimension ref="A1:S2"/>
  <sheetViews>
    <sheetView showGridLines="0" tabSelected="1" zoomScale="51" zoomScaleNormal="84" workbookViewId="0">
      <selection activeCell="X25" sqref="X25"/>
    </sheetView>
  </sheetViews>
  <sheetFormatPr defaultRowHeight="14.5" x14ac:dyDescent="0.35"/>
  <sheetData>
    <row r="1" spans="1:19" x14ac:dyDescent="0.35">
      <c r="A1" s="21" t="s">
        <v>68</v>
      </c>
      <c r="B1" s="21"/>
      <c r="C1" s="21"/>
      <c r="D1" s="21"/>
      <c r="E1" s="21"/>
      <c r="F1" s="21"/>
      <c r="G1" s="21"/>
      <c r="H1" s="21"/>
      <c r="I1" s="21"/>
      <c r="J1" s="21"/>
      <c r="K1" s="21"/>
      <c r="L1" s="21"/>
      <c r="M1" s="21"/>
      <c r="N1" s="21"/>
      <c r="O1" s="21"/>
      <c r="P1" s="21"/>
      <c r="Q1" s="21"/>
      <c r="R1" s="21"/>
      <c r="S1" s="21"/>
    </row>
    <row r="2" spans="1:19" x14ac:dyDescent="0.35">
      <c r="A2" s="21"/>
      <c r="B2" s="21"/>
      <c r="C2" s="21"/>
      <c r="D2" s="21"/>
      <c r="E2" s="21"/>
      <c r="F2" s="21"/>
      <c r="G2" s="21"/>
      <c r="H2" s="21"/>
      <c r="I2" s="21"/>
      <c r="J2" s="21"/>
      <c r="K2" s="21"/>
      <c r="L2" s="21"/>
      <c r="M2" s="21"/>
      <c r="N2" s="21"/>
      <c r="O2" s="21"/>
      <c r="P2" s="21"/>
      <c r="Q2" s="21"/>
      <c r="R2" s="21"/>
      <c r="S2" s="21"/>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AVG TACKLES</vt:lpstr>
      <vt:lpstr>Sheet3</vt:lpstr>
      <vt:lpstr>Sheet2</vt:lpstr>
      <vt:lpstr>Sheet4</vt:lpstr>
      <vt:lpstr>DATASET</vt:lpstr>
      <vt:lpstr>GOALS</vt:lpstr>
      <vt:lpstr>FORMULAS</vt:lpstr>
      <vt:lpstr>SORTING &amp; FILTERING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Pratyaksh Sharma</cp:lastModifiedBy>
  <dcterms:created xsi:type="dcterms:W3CDTF">2024-02-19T11:53:19Z</dcterms:created>
  <dcterms:modified xsi:type="dcterms:W3CDTF">2025-09-22T14:44:22Z</dcterms:modified>
</cp:coreProperties>
</file>